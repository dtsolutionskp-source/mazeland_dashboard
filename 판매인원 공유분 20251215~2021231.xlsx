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\메이즈랜드\정산\데이터\"/>
    </mc:Choice>
  </mc:AlternateContent>
  <xr:revisionPtr revIDLastSave="0" documentId="8_{7BBF19CD-53DD-408F-A0C0-A112A86AA0F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2.31" sheetId="19" r:id="rId1"/>
    <sheet name="12.28" sheetId="18" r:id="rId2"/>
    <sheet name="12.21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0" i="19" l="1"/>
  <c r="L11" i="19"/>
  <c r="L12" i="19"/>
  <c r="L7" i="17"/>
  <c r="L8" i="17"/>
  <c r="L9" i="17"/>
  <c r="L10" i="17"/>
  <c r="L11" i="17"/>
  <c r="L12" i="17"/>
  <c r="L13" i="17"/>
  <c r="I19" i="17"/>
  <c r="K31" i="19"/>
  <c r="J31" i="19"/>
  <c r="I31" i="19"/>
  <c r="H31" i="19"/>
  <c r="G31" i="19"/>
  <c r="F31" i="19"/>
  <c r="E31" i="19"/>
  <c r="L30" i="19"/>
  <c r="L29" i="19"/>
  <c r="L28" i="19"/>
  <c r="L27" i="19"/>
  <c r="L26" i="19"/>
  <c r="L25" i="19"/>
  <c r="L24" i="19"/>
  <c r="G23" i="19"/>
  <c r="F23" i="19"/>
  <c r="E23" i="19"/>
  <c r="K19" i="19"/>
  <c r="J19" i="19"/>
  <c r="I19" i="19"/>
  <c r="H19" i="19"/>
  <c r="G19" i="19"/>
  <c r="F19" i="19"/>
  <c r="E19" i="19"/>
  <c r="L18" i="19"/>
  <c r="L17" i="19"/>
  <c r="L16" i="19"/>
  <c r="L15" i="19"/>
  <c r="L14" i="19"/>
  <c r="L13" i="19"/>
  <c r="L9" i="19"/>
  <c r="L8" i="19"/>
  <c r="L7" i="19"/>
  <c r="L6" i="19"/>
  <c r="L5" i="19"/>
  <c r="L4" i="19"/>
  <c r="K31" i="18"/>
  <c r="J31" i="18"/>
  <c r="I31" i="18"/>
  <c r="H31" i="18"/>
  <c r="G31" i="18"/>
  <c r="F31" i="18"/>
  <c r="E31" i="18"/>
  <c r="L30" i="18"/>
  <c r="L29" i="18"/>
  <c r="L28" i="18"/>
  <c r="L27" i="18"/>
  <c r="L26" i="18"/>
  <c r="L25" i="18"/>
  <c r="L24" i="18"/>
  <c r="K23" i="18"/>
  <c r="J23" i="18"/>
  <c r="I23" i="18"/>
  <c r="H23" i="18"/>
  <c r="G23" i="18"/>
  <c r="F23" i="18"/>
  <c r="E23" i="18"/>
  <c r="K19" i="18"/>
  <c r="J19" i="18"/>
  <c r="I19" i="18"/>
  <c r="H19" i="18"/>
  <c r="G19" i="18"/>
  <c r="F19" i="18"/>
  <c r="E19" i="18"/>
  <c r="L18" i="18"/>
  <c r="L17" i="18"/>
  <c r="L16" i="18"/>
  <c r="L15" i="18"/>
  <c r="L13" i="18"/>
  <c r="L6" i="18"/>
  <c r="L5" i="18"/>
  <c r="L4" i="18"/>
  <c r="K31" i="17"/>
  <c r="J31" i="17"/>
  <c r="I31" i="17"/>
  <c r="H31" i="17"/>
  <c r="G31" i="17"/>
  <c r="F31" i="17"/>
  <c r="E31" i="17"/>
  <c r="L30" i="17"/>
  <c r="L29" i="17"/>
  <c r="L28" i="17"/>
  <c r="L27" i="17"/>
  <c r="L26" i="17"/>
  <c r="L25" i="17"/>
  <c r="L24" i="17"/>
  <c r="K23" i="17"/>
  <c r="J23" i="17"/>
  <c r="I23" i="17"/>
  <c r="H23" i="17"/>
  <c r="G23" i="17"/>
  <c r="F23" i="17"/>
  <c r="E23" i="17"/>
  <c r="K19" i="17"/>
  <c r="J19" i="17"/>
  <c r="H19" i="17"/>
  <c r="G19" i="17"/>
  <c r="F19" i="17"/>
  <c r="E19" i="17"/>
  <c r="L18" i="17"/>
  <c r="L17" i="17"/>
  <c r="L16" i="17"/>
  <c r="L15" i="17"/>
  <c r="L14" i="17"/>
  <c r="L6" i="17"/>
  <c r="L5" i="17"/>
  <c r="L4" i="17"/>
  <c r="L19" i="19" l="1"/>
  <c r="L31" i="19"/>
  <c r="L31" i="18"/>
  <c r="L19" i="18"/>
  <c r="L31" i="17"/>
  <c r="L19" i="17"/>
</calcChain>
</file>

<file path=xl/sharedStrings.xml><?xml version="1.0" encoding="utf-8"?>
<sst xmlns="http://schemas.openxmlformats.org/spreadsheetml/2006/main" count="126" uniqueCount="32">
  <si>
    <t>업체</t>
  </si>
  <si>
    <t>종류</t>
    <phoneticPr fontId="4" type="noConversion"/>
  </si>
  <si>
    <t xml:space="preserve">입금가 </t>
    <phoneticPr fontId="4" type="noConversion"/>
  </si>
  <si>
    <r>
      <rPr>
        <b/>
        <sz val="10"/>
        <color rgb="FF000000"/>
        <rFont val="돋움"/>
        <family val="3"/>
        <charset val="129"/>
      </rPr>
      <t>주식회사</t>
    </r>
    <r>
      <rPr>
        <b/>
        <sz val="12"/>
        <color rgb="FF000000"/>
        <rFont val="돋움"/>
        <family val="3"/>
        <charset val="129"/>
      </rPr>
      <t xml:space="preserve">
브이패스
(V-pass)</t>
    </r>
  </si>
  <si>
    <t>성인</t>
    <phoneticPr fontId="4" type="noConversion"/>
  </si>
  <si>
    <t>청소년</t>
    <phoneticPr fontId="4" type="noConversion"/>
  </si>
  <si>
    <t>어린이</t>
    <phoneticPr fontId="4" type="noConversion"/>
  </si>
  <si>
    <t>놀유니버스레져</t>
    <phoneticPr fontId="4" type="noConversion"/>
  </si>
  <si>
    <r>
      <rPr>
        <b/>
        <sz val="10"/>
        <color rgb="FF000000"/>
        <rFont val="돋움"/>
        <family val="3"/>
        <charset val="129"/>
      </rPr>
      <t>주식회사</t>
    </r>
    <r>
      <rPr>
        <b/>
        <sz val="12"/>
        <color rgb="FF000000"/>
        <rFont val="돋움"/>
        <family val="3"/>
        <charset val="129"/>
      </rPr>
      <t xml:space="preserve">
</t>
    </r>
    <r>
      <rPr>
        <b/>
        <sz val="11"/>
        <color rgb="FF000000"/>
        <rFont val="돋움"/>
        <family val="3"/>
        <charset val="129"/>
      </rPr>
      <t>엘에스컴퍼니</t>
    </r>
    <phoneticPr fontId="4" type="noConversion"/>
  </si>
  <si>
    <t>구분</t>
  </si>
  <si>
    <t>월 계</t>
  </si>
  <si>
    <t>개인</t>
  </si>
  <si>
    <t>여행사</t>
  </si>
  <si>
    <t>택시</t>
  </si>
  <si>
    <t>도민</t>
  </si>
  <si>
    <t>순환버스할인</t>
  </si>
  <si>
    <t>학단</t>
  </si>
  <si>
    <t>계</t>
  </si>
  <si>
    <t>주 계</t>
    <phoneticPr fontId="3" type="noConversion"/>
  </si>
  <si>
    <t>메이즈랜드
 입장권 [단품]
(12%)</t>
    <phoneticPr fontId="4" type="noConversion"/>
  </si>
  <si>
    <t>계</t>
    <phoneticPr fontId="3" type="noConversion"/>
  </si>
  <si>
    <t>메이즈랜드 
입장권
(12%)</t>
    <phoneticPr fontId="3" type="noConversion"/>
  </si>
  <si>
    <t>네이버 
메이즈랜드25년  
(10%)</t>
    <phoneticPr fontId="4" type="noConversion"/>
  </si>
  <si>
    <t>일반채널
 입장권
(15%)</t>
    <phoneticPr fontId="4" type="noConversion"/>
  </si>
  <si>
    <t>올패스</t>
    <phoneticPr fontId="4" type="noConversion"/>
  </si>
  <si>
    <t xml:space="preserve">인터넷 판매 내역 (12월 22일~ 12월 28일) </t>
    <phoneticPr fontId="4" type="noConversion"/>
  </si>
  <si>
    <t xml:space="preserve">현장 판매 내역 (12월 22일~ 12월 28일) </t>
    <phoneticPr fontId="4" type="noConversion"/>
  </si>
  <si>
    <t xml:space="preserve">인터넷 판매 내역 (12월 15일~ 12월 21일) </t>
    <phoneticPr fontId="4" type="noConversion"/>
  </si>
  <si>
    <t xml:space="preserve">현장 판매 내역 (12월 15일~ 12월 21일) </t>
    <phoneticPr fontId="4" type="noConversion"/>
  </si>
  <si>
    <t>25특가</t>
    <phoneticPr fontId="3" type="noConversion"/>
  </si>
  <si>
    <t xml:space="preserve">인터넷 판매 내역 (2025년 12월 29일~ 2025년 12월 31일) </t>
    <phoneticPr fontId="4" type="noConversion"/>
  </si>
  <si>
    <t xml:space="preserve">현장 판매 내역  (2025년 12월 29일~ 2025년 12월 31일)  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</si>
</sst>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[$-412]\ m&quot;월&quot;\ d&quot;일&quot;\ dddd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6100"/>
      <name val="맑은 고딕"/>
      <family val="3"/>
      <charset val="129"/>
    </font>
    <font>
      <sz val="8"/>
      <color rgb="FF006100"/>
      <name val="맑은 고딕"/>
      <family val="3"/>
      <charset val="129"/>
    </font>
    <font>
      <b/>
      <u/>
      <sz val="20"/>
      <color rgb="FF000000"/>
      <name val="맑은 고딕"/>
      <family val="3"/>
      <charset val="129"/>
    </font>
    <font>
      <b/>
      <sz val="11"/>
      <color rgb="FF0061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61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41" fontId="0" fillId="0" borderId="0" xfId="1" applyNumberFormat="1" applyFont="1" applyBorder="1" applyProtection="1">
      <alignment vertical="center"/>
    </xf>
    <xf numFmtId="0" fontId="0" fillId="0" borderId="0" xfId="0" applyNumberFormat="1" applyFont="1" applyBorder="1" applyAlignment="1" applyProtection="1">
      <alignment horizontal="center" vertical="center"/>
    </xf>
    <xf numFmtId="0" fontId="7" fillId="0" borderId="3" xfId="0" applyNumberFormat="1" applyFont="1" applyBorder="1" applyAlignment="1" applyProtection="1">
      <alignment horizontal="center" vertical="center"/>
    </xf>
    <xf numFmtId="0" fontId="7" fillId="0" borderId="1" xfId="0" applyNumberFormat="1" applyFont="1" applyBorder="1" applyAlignment="1" applyProtection="1">
      <alignment horizontal="center" vertical="center"/>
    </xf>
    <xf numFmtId="0" fontId="0" fillId="0" borderId="0" xfId="0" applyNumberFormat="1" applyBorder="1">
      <alignment vertical="center"/>
    </xf>
    <xf numFmtId="0" fontId="9" fillId="0" borderId="0" xfId="0" applyNumberFormat="1" applyFont="1">
      <alignment vertical="center"/>
    </xf>
    <xf numFmtId="0" fontId="0" fillId="0" borderId="0" xfId="0" applyNumberFormat="1">
      <alignment vertical="center"/>
    </xf>
    <xf numFmtId="0" fontId="10" fillId="0" borderId="0" xfId="0" applyNumberFormat="1" applyFont="1">
      <alignment vertical="center"/>
    </xf>
    <xf numFmtId="41" fontId="0" fillId="0" borderId="1" xfId="1" applyNumberFormat="1" applyFont="1" applyBorder="1">
      <alignment vertical="center"/>
    </xf>
    <xf numFmtId="41" fontId="10" fillId="0" borderId="1" xfId="1" applyNumberFormat="1" applyFont="1" applyBorder="1">
      <alignment vertical="center"/>
    </xf>
    <xf numFmtId="0" fontId="0" fillId="0" borderId="0" xfId="0" applyNumberFormat="1" applyFill="1">
      <alignment vertical="center"/>
    </xf>
    <xf numFmtId="0" fontId="0" fillId="0" borderId="0" xfId="0" applyFill="1">
      <alignment vertical="center"/>
    </xf>
    <xf numFmtId="41" fontId="0" fillId="0" borderId="0" xfId="1" applyNumberFormat="1" applyFont="1" applyFill="1" applyBorder="1" applyProtection="1">
      <alignment vertical="center"/>
    </xf>
    <xf numFmtId="0" fontId="0" fillId="0" borderId="0" xfId="0" applyNumberFormat="1" applyFill="1" applyBorder="1">
      <alignment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42" fontId="7" fillId="0" borderId="5" xfId="0" applyNumberFormat="1" applyFont="1" applyBorder="1" applyAlignment="1" applyProtection="1">
      <alignment horizontal="center" vertical="center"/>
    </xf>
    <xf numFmtId="42" fontId="7" fillId="0" borderId="5" xfId="2" applyFont="1" applyFill="1" applyBorder="1" applyAlignment="1" applyProtection="1">
      <alignment horizontal="center" vertical="center"/>
    </xf>
    <xf numFmtId="41" fontId="11" fillId="2" borderId="13" xfId="3" applyNumberFormat="1" applyFont="1" applyBorder="1" applyAlignment="1">
      <alignment horizontal="center" vertical="center"/>
    </xf>
    <xf numFmtId="41" fontId="14" fillId="2" borderId="6" xfId="3" applyNumberFormat="1" applyFont="1" applyBorder="1">
      <alignment vertical="center"/>
    </xf>
    <xf numFmtId="41" fontId="11" fillId="2" borderId="6" xfId="3" applyNumberFormat="1" applyFont="1" applyBorder="1">
      <alignment vertical="center"/>
    </xf>
    <xf numFmtId="41" fontId="11" fillId="2" borderId="7" xfId="3" applyNumberFormat="1" applyFont="1" applyBorder="1">
      <alignment vertical="center"/>
    </xf>
    <xf numFmtId="41" fontId="11" fillId="2" borderId="15" xfId="3" applyNumberFormat="1" applyFont="1" applyBorder="1" applyAlignment="1">
      <alignment horizontal="center" vertical="center"/>
    </xf>
    <xf numFmtId="41" fontId="11" fillId="2" borderId="16" xfId="3" applyNumberFormat="1" applyFont="1" applyBorder="1" applyAlignment="1">
      <alignment horizontal="center" vertical="center"/>
    </xf>
    <xf numFmtId="41" fontId="11" fillId="2" borderId="17" xfId="3" applyNumberFormat="1" applyFont="1" applyBorder="1" applyAlignment="1">
      <alignment horizontal="center" vertical="center"/>
    </xf>
    <xf numFmtId="176" fontId="12" fillId="2" borderId="16" xfId="3" applyNumberFormat="1" applyFont="1" applyBorder="1" applyAlignment="1">
      <alignment horizontal="center" vertical="center"/>
    </xf>
    <xf numFmtId="41" fontId="0" fillId="0" borderId="9" xfId="1" applyNumberFormat="1" applyFont="1" applyFill="1" applyBorder="1">
      <alignment vertical="center"/>
    </xf>
    <xf numFmtId="41" fontId="0" fillId="0" borderId="26" xfId="1" applyNumberFormat="1" applyFont="1" applyFill="1" applyBorder="1">
      <alignment vertical="center"/>
    </xf>
    <xf numFmtId="41" fontId="0" fillId="0" borderId="4" xfId="1" applyNumberFormat="1" applyFont="1" applyBorder="1">
      <alignment vertical="center"/>
    </xf>
    <xf numFmtId="41" fontId="0" fillId="0" borderId="14" xfId="0" applyNumberFormat="1" applyBorder="1">
      <alignment vertical="center"/>
    </xf>
    <xf numFmtId="42" fontId="7" fillId="0" borderId="2" xfId="0" applyNumberFormat="1" applyFont="1" applyBorder="1" applyAlignment="1" applyProtection="1">
      <alignment horizontal="center" vertical="center"/>
    </xf>
    <xf numFmtId="0" fontId="0" fillId="0" borderId="27" xfId="0" applyBorder="1">
      <alignment vertical="center"/>
    </xf>
    <xf numFmtId="0" fontId="0" fillId="0" borderId="27" xfId="0" applyFill="1" applyBorder="1">
      <alignment vertical="center"/>
    </xf>
    <xf numFmtId="0" fontId="0" fillId="0" borderId="11" xfId="0" applyNumberForma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10" fillId="0" borderId="12" xfId="0" applyNumberFormat="1" applyFont="1" applyBorder="1" applyAlignment="1">
      <alignment horizontal="center" vertical="center"/>
    </xf>
    <xf numFmtId="0" fontId="11" fillId="2" borderId="13" xfId="3" applyNumberFormat="1" applyFont="1" applyBorder="1" applyAlignment="1">
      <alignment horizontal="center" vertical="center"/>
    </xf>
    <xf numFmtId="0" fontId="0" fillId="0" borderId="30" xfId="0" applyNumberFormat="1" applyFont="1" applyBorder="1" applyAlignment="1" applyProtection="1">
      <alignment vertical="center"/>
    </xf>
    <xf numFmtId="0" fontId="7" fillId="0" borderId="19" xfId="1" applyNumberFormat="1" applyFont="1" applyFill="1" applyBorder="1" applyAlignment="1" applyProtection="1">
      <alignment horizontal="center" vertical="center"/>
      <protection locked="0"/>
    </xf>
    <xf numFmtId="0" fontId="7" fillId="0" borderId="3" xfId="1" applyNumberFormat="1" applyFont="1" applyBorder="1" applyAlignment="1" applyProtection="1">
      <alignment horizontal="center" vertical="center"/>
    </xf>
    <xf numFmtId="0" fontId="7" fillId="0" borderId="9" xfId="1" applyNumberFormat="1" applyFont="1" applyFill="1" applyBorder="1" applyAlignment="1" applyProtection="1">
      <alignment horizontal="center" vertical="center"/>
      <protection locked="0"/>
    </xf>
    <xf numFmtId="0" fontId="7" fillId="0" borderId="1" xfId="1" applyNumberFormat="1" applyFont="1" applyBorder="1" applyAlignment="1" applyProtection="1">
      <alignment horizontal="center" vertical="center"/>
    </xf>
    <xf numFmtId="0" fontId="7" fillId="0" borderId="1" xfId="1" applyNumberFormat="1" applyFont="1" applyFill="1" applyBorder="1" applyAlignment="1" applyProtection="1">
      <alignment horizontal="center" vertical="center"/>
    </xf>
    <xf numFmtId="0" fontId="15" fillId="0" borderId="3" xfId="0" applyNumberFormat="1" applyFont="1" applyBorder="1" applyAlignment="1">
      <alignment horizontal="center" vertical="center"/>
    </xf>
    <xf numFmtId="0" fontId="15" fillId="0" borderId="28" xfId="0" applyNumberFormat="1" applyFont="1" applyBorder="1" applyAlignment="1">
      <alignment horizontal="center" vertical="center"/>
    </xf>
    <xf numFmtId="0" fontId="15" fillId="0" borderId="1" xfId="0" applyNumberFormat="1" applyFont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41" fontId="16" fillId="2" borderId="6" xfId="3" applyNumberFormat="1" applyFont="1" applyBorder="1">
      <alignment vertical="center"/>
    </xf>
    <xf numFmtId="0" fontId="15" fillId="0" borderId="5" xfId="0" applyNumberFormat="1" applyFont="1" applyBorder="1" applyAlignment="1">
      <alignment horizontal="center" vertical="center"/>
    </xf>
    <xf numFmtId="176" fontId="12" fillId="2" borderId="15" xfId="3" applyNumberFormat="1" applyFont="1" applyBorder="1" applyAlignment="1">
      <alignment horizontal="center" vertical="center"/>
    </xf>
    <xf numFmtId="0" fontId="7" fillId="0" borderId="11" xfId="0" applyNumberFormat="1" applyFont="1" applyBorder="1" applyAlignment="1" applyProtection="1">
      <alignment horizontal="center" vertical="center"/>
    </xf>
    <xf numFmtId="0" fontId="7" fillId="0" borderId="12" xfId="0" applyNumberFormat="1" applyFont="1" applyBorder="1" applyAlignment="1" applyProtection="1">
      <alignment horizontal="center" vertical="center"/>
    </xf>
    <xf numFmtId="0" fontId="7" fillId="0" borderId="12" xfId="2" applyNumberFormat="1" applyFont="1" applyFill="1" applyBorder="1" applyAlignment="1" applyProtection="1">
      <alignment horizontal="center" vertical="center"/>
    </xf>
    <xf numFmtId="41" fontId="16" fillId="2" borderId="13" xfId="3" applyNumberFormat="1" applyFont="1" applyBorder="1">
      <alignment vertical="center"/>
    </xf>
    <xf numFmtId="0" fontId="11" fillId="2" borderId="16" xfId="3" applyNumberFormat="1" applyFont="1" applyBorder="1" applyAlignment="1">
      <alignment horizontal="center" vertical="center"/>
    </xf>
    <xf numFmtId="0" fontId="11" fillId="2" borderId="17" xfId="3" applyNumberFormat="1" applyFont="1" applyBorder="1" applyAlignment="1">
      <alignment horizontal="center" vertical="center"/>
    </xf>
    <xf numFmtId="0" fontId="11" fillId="2" borderId="29" xfId="3" applyNumberFormat="1" applyFont="1" applyBorder="1" applyAlignment="1">
      <alignment horizontal="center" vertical="center"/>
    </xf>
    <xf numFmtId="0" fontId="11" fillId="2" borderId="21" xfId="3" applyNumberFormat="1" applyFont="1" applyBorder="1" applyAlignment="1">
      <alignment horizontal="center" vertical="center"/>
    </xf>
    <xf numFmtId="0" fontId="11" fillId="2" borderId="22" xfId="3" applyNumberFormat="1" applyFont="1" applyBorder="1" applyAlignment="1">
      <alignment horizontal="center" vertical="center"/>
    </xf>
    <xf numFmtId="0" fontId="11" fillId="2" borderId="23" xfId="3" applyNumberFormat="1" applyFont="1" applyBorder="1" applyAlignment="1">
      <alignment horizontal="center" vertical="center"/>
    </xf>
    <xf numFmtId="0" fontId="0" fillId="0" borderId="18" xfId="0" applyNumberFormat="1" applyBorder="1" applyAlignment="1">
      <alignment horizontal="center" vertical="center"/>
    </xf>
    <xf numFmtId="0" fontId="0" fillId="0" borderId="10" xfId="0" applyNumberFormat="1" applyBorder="1" applyAlignment="1">
      <alignment horizontal="center" vertical="center"/>
    </xf>
    <xf numFmtId="0" fontId="0" fillId="0" borderId="20" xfId="0" applyNumberFormat="1" applyBorder="1" applyAlignment="1">
      <alignment horizontal="center" vertical="center"/>
    </xf>
    <xf numFmtId="0" fontId="10" fillId="0" borderId="18" xfId="0" applyNumberFormat="1" applyFont="1" applyBorder="1" applyAlignment="1">
      <alignment horizontal="center" vertical="center"/>
    </xf>
    <xf numFmtId="0" fontId="10" fillId="0" borderId="10" xfId="0" applyNumberFormat="1" applyFont="1" applyBorder="1" applyAlignment="1">
      <alignment horizontal="center" vertical="center"/>
    </xf>
    <xf numFmtId="0" fontId="10" fillId="0" borderId="20" xfId="0" applyNumberFormat="1" applyFont="1" applyBorder="1" applyAlignment="1">
      <alignment horizontal="center" vertical="center"/>
    </xf>
    <xf numFmtId="0" fontId="0" fillId="0" borderId="24" xfId="0" applyNumberFormat="1" applyBorder="1" applyAlignment="1">
      <alignment horizontal="center" vertical="center"/>
    </xf>
    <xf numFmtId="0" fontId="0" fillId="0" borderId="8" xfId="0" applyNumberFormat="1" applyBorder="1" applyAlignment="1">
      <alignment horizontal="center" vertical="center"/>
    </xf>
    <xf numFmtId="0" fontId="0" fillId="0" borderId="25" xfId="0" applyNumberFormat="1" applyBorder="1" applyAlignment="1">
      <alignment horizontal="center" vertical="center"/>
    </xf>
    <xf numFmtId="0" fontId="13" fillId="0" borderId="0" xfId="0" applyNumberFormat="1" applyFont="1" applyAlignment="1">
      <alignment horizontal="center" vertical="center"/>
    </xf>
    <xf numFmtId="0" fontId="5" fillId="0" borderId="31" xfId="0" applyNumberFormat="1" applyFont="1" applyBorder="1" applyAlignment="1" applyProtection="1">
      <alignment horizontal="center" vertical="center" wrapText="1"/>
    </xf>
    <xf numFmtId="0" fontId="5" fillId="0" borderId="32" xfId="0" applyNumberFormat="1" applyFont="1" applyBorder="1" applyAlignment="1" applyProtection="1">
      <alignment horizontal="center" vertical="center" wrapText="1"/>
    </xf>
    <xf numFmtId="0" fontId="5" fillId="0" borderId="33" xfId="0" applyNumberFormat="1" applyFont="1" applyBorder="1" applyAlignment="1" applyProtection="1">
      <alignment horizontal="center" vertical="center" wrapText="1"/>
    </xf>
    <xf numFmtId="0" fontId="6" fillId="0" borderId="3" xfId="0" applyNumberFormat="1" applyFont="1" applyBorder="1" applyAlignment="1" applyProtection="1">
      <alignment horizontal="center" vertical="center" wrapText="1"/>
    </xf>
    <xf numFmtId="0" fontId="6" fillId="0" borderId="1" xfId="0" applyNumberFormat="1" applyFont="1" applyBorder="1" applyAlignment="1" applyProtection="1">
      <alignment horizontal="center" vertical="center"/>
    </xf>
    <xf numFmtId="9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34" xfId="0" applyNumberFormat="1" applyFont="1" applyBorder="1" applyAlignment="1" applyProtection="1">
      <alignment horizontal="center" vertical="center"/>
    </xf>
    <xf numFmtId="0" fontId="6" fillId="0" borderId="35" xfId="0" applyNumberFormat="1" applyFont="1" applyBorder="1" applyAlignment="1" applyProtection="1">
      <alignment horizontal="center" vertical="center"/>
    </xf>
    <xf numFmtId="0" fontId="6" fillId="0" borderId="4" xfId="0" applyNumberFormat="1" applyFont="1" applyBorder="1" applyAlignment="1" applyProtection="1">
      <alignment horizontal="center" vertical="center"/>
    </xf>
    <xf numFmtId="0" fontId="5" fillId="0" borderId="12" xfId="0" applyNumberFormat="1" applyFont="1" applyBorder="1" applyAlignment="1" applyProtection="1">
      <alignment horizontal="center" vertical="center" wrapText="1"/>
    </xf>
    <xf numFmtId="0" fontId="5" fillId="0" borderId="12" xfId="0" applyNumberFormat="1" applyFont="1" applyBorder="1" applyAlignment="1" applyProtection="1">
      <alignment horizontal="center" vertical="center"/>
    </xf>
    <xf numFmtId="0" fontId="9" fillId="0" borderId="0" xfId="0" applyNumberFormat="1" applyFont="1" applyBorder="1" applyAlignment="1">
      <alignment horizontal="center" vertical="center"/>
    </xf>
    <xf numFmtId="0" fontId="11" fillId="2" borderId="15" xfId="3" applyNumberFormat="1" applyFont="1" applyBorder="1" applyAlignment="1">
      <alignment horizontal="center" vertical="center"/>
    </xf>
    <xf numFmtId="0" fontId="11" fillId="2" borderId="16" xfId="3" applyNumberFormat="1" applyFont="1" applyBorder="1" applyAlignment="1">
      <alignment horizontal="center" vertical="center"/>
    </xf>
    <xf numFmtId="0" fontId="11" fillId="2" borderId="17" xfId="3" applyNumberFormat="1" applyFont="1" applyBorder="1" applyAlignment="1">
      <alignment horizontal="center" vertical="center"/>
    </xf>
    <xf numFmtId="0" fontId="6" fillId="0" borderId="1" xfId="0" applyNumberFormat="1" applyFont="1" applyBorder="1" applyAlignment="1" applyProtection="1">
      <alignment horizontal="center" vertical="center" wrapText="1"/>
    </xf>
  </cellXfs>
  <cellStyles count="4">
    <cellStyle name="쉼표 [0]" xfId="1" builtinId="6"/>
    <cellStyle name="좋음" xfId="3" builtinId="26"/>
    <cellStyle name="통화 [0]" xfId="2" builtinId="7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32"/>
  <sheetViews>
    <sheetView tabSelected="1" workbookViewId="0">
      <selection activeCell="L31" sqref="L31"/>
    </sheetView>
  </sheetViews>
  <sheetFormatPr defaultRowHeight="16.5" x14ac:dyDescent="0.3"/>
  <cols>
    <col min="1" max="1" width="18.5" customWidth="1"/>
    <col min="2" max="3" width="13.875" customWidth="1"/>
    <col min="4" max="4" width="11.875" customWidth="1"/>
    <col min="5" max="5" width="15.5" customWidth="1"/>
    <col min="6" max="6" width="14.5" style="12" customWidth="1"/>
    <col min="7" max="11" width="14.5" customWidth="1"/>
    <col min="12" max="13" width="12.875" customWidth="1"/>
  </cols>
  <sheetData>
    <row r="1" spans="1:13" ht="46.5" customHeight="1" x14ac:dyDescent="0.3">
      <c r="A1" s="69" t="s">
        <v>30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ht="17.25" thickBot="1" x14ac:dyDescent="0.35">
      <c r="A2" s="37"/>
      <c r="B2" s="1"/>
      <c r="C2" s="1"/>
      <c r="D2" s="2"/>
      <c r="E2" s="2"/>
      <c r="F2" s="13"/>
      <c r="G2" s="1"/>
    </row>
    <row r="3" spans="1:13" ht="27.75" customHeight="1" thickBot="1" x14ac:dyDescent="0.35">
      <c r="A3" s="22" t="s">
        <v>0</v>
      </c>
      <c r="B3" s="23" t="s">
        <v>1</v>
      </c>
      <c r="C3" s="23"/>
      <c r="D3" s="24" t="s">
        <v>2</v>
      </c>
      <c r="E3" s="49">
        <v>46020</v>
      </c>
      <c r="F3" s="49">
        <v>46021</v>
      </c>
      <c r="G3" s="49">
        <v>46022</v>
      </c>
      <c r="H3" s="49"/>
      <c r="I3" s="49"/>
      <c r="J3" s="49"/>
      <c r="K3" s="49"/>
      <c r="L3" s="54" t="s">
        <v>18</v>
      </c>
      <c r="M3" s="56" t="s">
        <v>10</v>
      </c>
    </row>
    <row r="4" spans="1:13" ht="16.5" customHeight="1" x14ac:dyDescent="0.3">
      <c r="A4" s="70" t="s">
        <v>3</v>
      </c>
      <c r="B4" s="73" t="s">
        <v>22</v>
      </c>
      <c r="C4" s="3" t="s">
        <v>4</v>
      </c>
      <c r="D4" s="30">
        <v>13500</v>
      </c>
      <c r="E4" s="50">
        <v>32</v>
      </c>
      <c r="F4" s="38">
        <v>37</v>
      </c>
      <c r="G4" s="50">
        <v>33</v>
      </c>
      <c r="H4" s="43"/>
      <c r="I4" s="43"/>
      <c r="J4" s="43"/>
      <c r="K4" s="43"/>
      <c r="L4" s="44">
        <f t="shared" ref="L4:L18" si="0">SUM(E4:K4)</f>
        <v>102</v>
      </c>
      <c r="M4" s="48">
        <v>694</v>
      </c>
    </row>
    <row r="5" spans="1:13" x14ac:dyDescent="0.3">
      <c r="A5" s="71"/>
      <c r="B5" s="74"/>
      <c r="C5" s="4" t="s">
        <v>5</v>
      </c>
      <c r="D5" s="16">
        <v>11700</v>
      </c>
      <c r="E5" s="51">
        <v>4</v>
      </c>
      <c r="F5" s="40">
        <v>3</v>
      </c>
      <c r="G5" s="51">
        <v>8</v>
      </c>
      <c r="H5" s="45"/>
      <c r="I5" s="45"/>
      <c r="J5" s="45"/>
      <c r="K5" s="45"/>
      <c r="L5" s="45">
        <f t="shared" si="0"/>
        <v>15</v>
      </c>
      <c r="M5" s="48">
        <v>74</v>
      </c>
    </row>
    <row r="6" spans="1:13" x14ac:dyDescent="0.3">
      <c r="A6" s="71"/>
      <c r="B6" s="74"/>
      <c r="C6" s="4" t="s">
        <v>6</v>
      </c>
      <c r="D6" s="16">
        <v>10800</v>
      </c>
      <c r="E6" s="51">
        <v>19</v>
      </c>
      <c r="F6" s="40">
        <v>13</v>
      </c>
      <c r="G6" s="51">
        <v>13</v>
      </c>
      <c r="H6" s="45"/>
      <c r="I6" s="45"/>
      <c r="J6" s="45"/>
      <c r="K6" s="45"/>
      <c r="L6" s="45">
        <f t="shared" si="0"/>
        <v>45</v>
      </c>
      <c r="M6" s="48">
        <v>258</v>
      </c>
    </row>
    <row r="7" spans="1:13" ht="16.5" customHeight="1" x14ac:dyDescent="0.3">
      <c r="A7" s="71"/>
      <c r="B7" s="75" t="s">
        <v>21</v>
      </c>
      <c r="C7" s="4" t="s">
        <v>4</v>
      </c>
      <c r="D7" s="16">
        <v>12750</v>
      </c>
      <c r="E7" s="51"/>
      <c r="F7" s="40"/>
      <c r="G7" s="51"/>
      <c r="H7" s="45"/>
      <c r="I7" s="45"/>
      <c r="J7" s="45"/>
      <c r="K7" s="45"/>
      <c r="L7" s="45">
        <f t="shared" si="0"/>
        <v>0</v>
      </c>
      <c r="M7" s="48">
        <v>26</v>
      </c>
    </row>
    <row r="8" spans="1:13" x14ac:dyDescent="0.3">
      <c r="A8" s="71"/>
      <c r="B8" s="76"/>
      <c r="C8" s="4" t="s">
        <v>5</v>
      </c>
      <c r="D8" s="16">
        <v>11050</v>
      </c>
      <c r="E8" s="51"/>
      <c r="F8" s="40"/>
      <c r="G8" s="51"/>
      <c r="H8" s="45"/>
      <c r="I8" s="45"/>
      <c r="J8" s="45"/>
      <c r="K8" s="45"/>
      <c r="L8" s="45">
        <f t="shared" si="0"/>
        <v>0</v>
      </c>
      <c r="M8" s="48">
        <v>3</v>
      </c>
    </row>
    <row r="9" spans="1:13" x14ac:dyDescent="0.3">
      <c r="A9" s="71"/>
      <c r="B9" s="76"/>
      <c r="C9" s="4" t="s">
        <v>6</v>
      </c>
      <c r="D9" s="16">
        <v>10200</v>
      </c>
      <c r="E9" s="51"/>
      <c r="F9" s="40"/>
      <c r="G9" s="51"/>
      <c r="H9" s="45"/>
      <c r="I9" s="45"/>
      <c r="J9" s="45"/>
      <c r="K9" s="45"/>
      <c r="L9" s="45">
        <f t="shared" si="0"/>
        <v>0</v>
      </c>
      <c r="M9" s="48">
        <v>11</v>
      </c>
    </row>
    <row r="10" spans="1:13" x14ac:dyDescent="0.3">
      <c r="A10" s="71"/>
      <c r="B10" s="77" t="s">
        <v>29</v>
      </c>
      <c r="C10" s="4" t="s">
        <v>4</v>
      </c>
      <c r="D10" s="16">
        <v>11000</v>
      </c>
      <c r="E10" s="51">
        <v>26</v>
      </c>
      <c r="F10" s="40">
        <v>5</v>
      </c>
      <c r="G10" s="51">
        <v>10</v>
      </c>
      <c r="H10" s="45"/>
      <c r="I10" s="45"/>
      <c r="J10" s="45"/>
      <c r="K10" s="45"/>
      <c r="L10" s="45">
        <f t="shared" si="0"/>
        <v>41</v>
      </c>
      <c r="M10" s="48">
        <v>84</v>
      </c>
    </row>
    <row r="11" spans="1:13" x14ac:dyDescent="0.3">
      <c r="A11" s="71"/>
      <c r="B11" s="78"/>
      <c r="C11" s="4" t="s">
        <v>5</v>
      </c>
      <c r="D11" s="16">
        <v>9500</v>
      </c>
      <c r="E11" s="51">
        <v>2</v>
      </c>
      <c r="F11" s="40"/>
      <c r="G11" s="51"/>
      <c r="H11" s="45"/>
      <c r="I11" s="45"/>
      <c r="J11" s="45"/>
      <c r="K11" s="45"/>
      <c r="L11" s="45">
        <f t="shared" si="0"/>
        <v>2</v>
      </c>
      <c r="M11" s="48">
        <v>10</v>
      </c>
    </row>
    <row r="12" spans="1:13" x14ac:dyDescent="0.3">
      <c r="A12" s="72"/>
      <c r="B12" s="79"/>
      <c r="C12" s="4" t="s">
        <v>6</v>
      </c>
      <c r="D12" s="16">
        <v>8700</v>
      </c>
      <c r="E12" s="51">
        <v>9</v>
      </c>
      <c r="F12" s="40">
        <v>6</v>
      </c>
      <c r="G12" s="51">
        <v>7</v>
      </c>
      <c r="H12" s="45"/>
      <c r="I12" s="45"/>
      <c r="J12" s="45"/>
      <c r="K12" s="45"/>
      <c r="L12" s="45">
        <f t="shared" si="0"/>
        <v>22</v>
      </c>
      <c r="M12" s="48">
        <v>50</v>
      </c>
    </row>
    <row r="13" spans="1:13" x14ac:dyDescent="0.3">
      <c r="A13" s="80" t="s">
        <v>7</v>
      </c>
      <c r="B13" s="75" t="s">
        <v>21</v>
      </c>
      <c r="C13" s="15" t="s">
        <v>4</v>
      </c>
      <c r="D13" s="17">
        <v>13200</v>
      </c>
      <c r="E13" s="52">
        <v>8</v>
      </c>
      <c r="F13" s="40"/>
      <c r="G13" s="42"/>
      <c r="H13" s="46"/>
      <c r="I13" s="46"/>
      <c r="J13" s="46"/>
      <c r="K13" s="46"/>
      <c r="L13" s="45">
        <f t="shared" si="0"/>
        <v>8</v>
      </c>
      <c r="M13" s="48">
        <v>48</v>
      </c>
    </row>
    <row r="14" spans="1:13" x14ac:dyDescent="0.3">
      <c r="A14" s="81"/>
      <c r="B14" s="76"/>
      <c r="C14" s="15" t="s">
        <v>5</v>
      </c>
      <c r="D14" s="17">
        <v>11440</v>
      </c>
      <c r="E14" s="52">
        <v>0</v>
      </c>
      <c r="F14" s="40"/>
      <c r="G14" s="42"/>
      <c r="H14" s="46"/>
      <c r="I14" s="46"/>
      <c r="J14" s="46"/>
      <c r="K14" s="46"/>
      <c r="L14" s="45">
        <f t="shared" si="0"/>
        <v>0</v>
      </c>
      <c r="M14" s="48">
        <v>0</v>
      </c>
    </row>
    <row r="15" spans="1:13" x14ac:dyDescent="0.3">
      <c r="A15" s="81"/>
      <c r="B15" s="76"/>
      <c r="C15" s="15" t="s">
        <v>6</v>
      </c>
      <c r="D15" s="17">
        <v>10560</v>
      </c>
      <c r="E15" s="52">
        <v>2</v>
      </c>
      <c r="F15" s="40"/>
      <c r="G15" s="42"/>
      <c r="H15" s="46"/>
      <c r="I15" s="46"/>
      <c r="J15" s="46"/>
      <c r="K15" s="46"/>
      <c r="L15" s="45">
        <f t="shared" si="0"/>
        <v>2</v>
      </c>
      <c r="M15" s="48">
        <v>12</v>
      </c>
    </row>
    <row r="16" spans="1:13" x14ac:dyDescent="0.3">
      <c r="A16" s="80" t="s">
        <v>8</v>
      </c>
      <c r="B16" s="75" t="s">
        <v>19</v>
      </c>
      <c r="C16" s="15" t="s">
        <v>4</v>
      </c>
      <c r="D16" s="17">
        <v>13200</v>
      </c>
      <c r="E16" s="52"/>
      <c r="F16" s="40"/>
      <c r="G16" s="42"/>
      <c r="H16" s="46"/>
      <c r="I16" s="46"/>
      <c r="J16" s="46"/>
      <c r="K16" s="46"/>
      <c r="L16" s="45">
        <f t="shared" si="0"/>
        <v>0</v>
      </c>
      <c r="M16" s="48">
        <v>30</v>
      </c>
    </row>
    <row r="17" spans="1:13" x14ac:dyDescent="0.3">
      <c r="A17" s="81"/>
      <c r="B17" s="76"/>
      <c r="C17" s="15" t="s">
        <v>5</v>
      </c>
      <c r="D17" s="17">
        <v>11440</v>
      </c>
      <c r="E17" s="52"/>
      <c r="F17" s="40"/>
      <c r="G17" s="42"/>
      <c r="H17" s="46"/>
      <c r="I17" s="46"/>
      <c r="J17" s="46"/>
      <c r="K17" s="46"/>
      <c r="L17" s="45">
        <f t="shared" si="0"/>
        <v>0</v>
      </c>
      <c r="M17" s="48">
        <v>8</v>
      </c>
    </row>
    <row r="18" spans="1:13" x14ac:dyDescent="0.3">
      <c r="A18" s="81"/>
      <c r="B18" s="76"/>
      <c r="C18" s="15" t="s">
        <v>6</v>
      </c>
      <c r="D18" s="17">
        <v>10560</v>
      </c>
      <c r="E18" s="52"/>
      <c r="F18" s="40"/>
      <c r="G18" s="42"/>
      <c r="H18" s="46"/>
      <c r="I18" s="46"/>
      <c r="J18" s="46"/>
      <c r="K18" s="46"/>
      <c r="L18" s="45">
        <f t="shared" si="0"/>
        <v>0</v>
      </c>
      <c r="M18" s="48">
        <v>13</v>
      </c>
    </row>
    <row r="19" spans="1:13" ht="23.25" customHeight="1" thickBot="1" x14ac:dyDescent="0.35">
      <c r="A19" s="18" t="s">
        <v>20</v>
      </c>
      <c r="B19" s="19"/>
      <c r="C19" s="20"/>
      <c r="D19" s="21"/>
      <c r="E19" s="53">
        <f>SUM(E4:E18)</f>
        <v>102</v>
      </c>
      <c r="F19" s="47">
        <f t="shared" ref="F19:L19" si="1">SUM(F4:F18)</f>
        <v>64</v>
      </c>
      <c r="G19" s="47">
        <f t="shared" si="1"/>
        <v>71</v>
      </c>
      <c r="H19" s="47">
        <f t="shared" si="1"/>
        <v>0</v>
      </c>
      <c r="I19" s="47">
        <f t="shared" si="1"/>
        <v>0</v>
      </c>
      <c r="J19" s="47">
        <f t="shared" si="1"/>
        <v>0</v>
      </c>
      <c r="K19" s="47">
        <f t="shared" si="1"/>
        <v>0</v>
      </c>
      <c r="L19" s="47">
        <f t="shared" si="1"/>
        <v>237</v>
      </c>
      <c r="M19" s="47">
        <v>1321</v>
      </c>
    </row>
    <row r="20" spans="1:13" ht="26.25" customHeight="1" x14ac:dyDescent="0.3">
      <c r="A20" s="5"/>
      <c r="B20" s="5"/>
      <c r="C20" s="5"/>
      <c r="D20" s="5"/>
      <c r="E20" s="5"/>
      <c r="F20" s="14"/>
      <c r="G20" s="5"/>
    </row>
    <row r="21" spans="1:13" ht="43.5" customHeight="1" x14ac:dyDescent="0.3">
      <c r="A21" s="69" t="s">
        <v>31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</row>
    <row r="22" spans="1:13" ht="18" thickBot="1" x14ac:dyDescent="0.35">
      <c r="A22" s="6"/>
      <c r="B22" s="6"/>
      <c r="C22" s="6"/>
      <c r="D22" s="6"/>
      <c r="E22" s="6"/>
      <c r="F22" s="11"/>
      <c r="G22" s="8"/>
      <c r="H22" s="7"/>
      <c r="I22" s="82"/>
      <c r="J22" s="82"/>
      <c r="K22" s="82"/>
      <c r="L22" s="82"/>
      <c r="M22" s="82"/>
    </row>
    <row r="23" spans="1:13" ht="28.5" customHeight="1" thickBot="1" x14ac:dyDescent="0.35">
      <c r="A23" s="83" t="s">
        <v>9</v>
      </c>
      <c r="B23" s="84"/>
      <c r="C23" s="84"/>
      <c r="D23" s="85"/>
      <c r="E23" s="25">
        <f>E3</f>
        <v>46020</v>
      </c>
      <c r="F23" s="25">
        <f>F3</f>
        <v>46021</v>
      </c>
      <c r="G23" s="25">
        <f t="shared" ref="G23" si="2">G3</f>
        <v>46022</v>
      </c>
      <c r="H23" s="25"/>
      <c r="I23" s="25"/>
      <c r="J23" s="25"/>
      <c r="K23" s="25"/>
      <c r="L23" s="54" t="s">
        <v>18</v>
      </c>
      <c r="M23" s="55" t="s">
        <v>10</v>
      </c>
    </row>
    <row r="24" spans="1:13" ht="21.75" customHeight="1" x14ac:dyDescent="0.3">
      <c r="A24" s="66" t="s">
        <v>11</v>
      </c>
      <c r="B24" s="67"/>
      <c r="C24" s="67"/>
      <c r="D24" s="68"/>
      <c r="E24" s="33">
        <v>41</v>
      </c>
      <c r="F24" s="27">
        <v>50</v>
      </c>
      <c r="G24" s="28">
        <v>70</v>
      </c>
      <c r="H24" s="28"/>
      <c r="I24" s="33"/>
      <c r="J24" s="28"/>
      <c r="K24" s="28"/>
      <c r="L24" s="28">
        <f t="shared" ref="L24:L31" si="3">SUM(E24:K24)</f>
        <v>161</v>
      </c>
      <c r="M24" s="29">
        <v>1241</v>
      </c>
    </row>
    <row r="25" spans="1:13" ht="21.75" customHeight="1" x14ac:dyDescent="0.3">
      <c r="A25" s="60" t="s">
        <v>12</v>
      </c>
      <c r="B25" s="61"/>
      <c r="C25" s="61"/>
      <c r="D25" s="62"/>
      <c r="E25" s="34"/>
      <c r="F25" s="26"/>
      <c r="G25" s="9">
        <v>25</v>
      </c>
      <c r="H25" s="10"/>
      <c r="I25" s="34"/>
      <c r="J25" s="9"/>
      <c r="K25" s="9"/>
      <c r="L25" s="28">
        <f t="shared" si="3"/>
        <v>25</v>
      </c>
      <c r="M25" s="29">
        <v>210</v>
      </c>
    </row>
    <row r="26" spans="1:13" ht="21.75" customHeight="1" x14ac:dyDescent="0.3">
      <c r="A26" s="60" t="s">
        <v>13</v>
      </c>
      <c r="B26" s="61"/>
      <c r="C26" s="61"/>
      <c r="D26" s="62"/>
      <c r="E26" s="34"/>
      <c r="F26" s="26"/>
      <c r="G26" s="9">
        <v>0</v>
      </c>
      <c r="H26" s="9"/>
      <c r="I26" s="34"/>
      <c r="J26" s="9"/>
      <c r="K26" s="9"/>
      <c r="L26" s="28">
        <f t="shared" si="3"/>
        <v>0</v>
      </c>
      <c r="M26" s="29">
        <v>0</v>
      </c>
    </row>
    <row r="27" spans="1:13" ht="21.75" customHeight="1" x14ac:dyDescent="0.3">
      <c r="A27" s="60" t="s">
        <v>14</v>
      </c>
      <c r="B27" s="61"/>
      <c r="C27" s="61"/>
      <c r="D27" s="62"/>
      <c r="E27" s="34">
        <v>1</v>
      </c>
      <c r="F27" s="26">
        <v>1</v>
      </c>
      <c r="G27" s="9">
        <v>3</v>
      </c>
      <c r="H27" s="9"/>
      <c r="I27" s="34"/>
      <c r="J27" s="9"/>
      <c r="K27" s="9"/>
      <c r="L27" s="28">
        <f t="shared" si="3"/>
        <v>5</v>
      </c>
      <c r="M27" s="29">
        <v>209</v>
      </c>
    </row>
    <row r="28" spans="1:13" ht="21.75" customHeight="1" x14ac:dyDescent="0.3">
      <c r="A28" s="63" t="s">
        <v>24</v>
      </c>
      <c r="B28" s="64"/>
      <c r="C28" s="64"/>
      <c r="D28" s="65"/>
      <c r="E28" s="35">
        <v>6</v>
      </c>
      <c r="F28" s="26">
        <v>9</v>
      </c>
      <c r="G28" s="9">
        <v>5</v>
      </c>
      <c r="H28" s="9"/>
      <c r="I28" s="35"/>
      <c r="J28" s="9"/>
      <c r="K28" s="9"/>
      <c r="L28" s="28">
        <f t="shared" si="3"/>
        <v>20</v>
      </c>
      <c r="M28" s="29">
        <v>144</v>
      </c>
    </row>
    <row r="29" spans="1:13" ht="21.75" customHeight="1" x14ac:dyDescent="0.3">
      <c r="A29" s="60" t="s">
        <v>15</v>
      </c>
      <c r="B29" s="61"/>
      <c r="C29" s="61"/>
      <c r="D29" s="62"/>
      <c r="E29" s="34"/>
      <c r="F29" s="26"/>
      <c r="G29" s="10"/>
      <c r="H29" s="9"/>
      <c r="I29" s="9"/>
      <c r="J29" s="9"/>
      <c r="K29" s="9"/>
      <c r="L29" s="28">
        <f t="shared" si="3"/>
        <v>0</v>
      </c>
      <c r="M29" s="29">
        <v>0</v>
      </c>
    </row>
    <row r="30" spans="1:13" ht="21.75" customHeight="1" x14ac:dyDescent="0.3">
      <c r="A30" s="60" t="s">
        <v>16</v>
      </c>
      <c r="B30" s="61"/>
      <c r="C30" s="61"/>
      <c r="D30" s="62"/>
      <c r="E30" s="34"/>
      <c r="F30" s="26"/>
      <c r="G30" s="9"/>
      <c r="H30" s="9"/>
      <c r="I30" s="9"/>
      <c r="J30" s="9"/>
      <c r="K30" s="9"/>
      <c r="L30" s="28">
        <f t="shared" si="3"/>
        <v>0</v>
      </c>
      <c r="M30" s="29">
        <v>21</v>
      </c>
    </row>
    <row r="31" spans="1:13" ht="21.75" customHeight="1" thickBot="1" x14ac:dyDescent="0.35">
      <c r="A31" s="57" t="s">
        <v>17</v>
      </c>
      <c r="B31" s="58"/>
      <c r="C31" s="58"/>
      <c r="D31" s="59"/>
      <c r="E31" s="36">
        <f>SUM(E24:E30)</f>
        <v>48</v>
      </c>
      <c r="F31" s="36">
        <f t="shared" ref="F31:K31" si="4">SUM(F24:F30)</f>
        <v>60</v>
      </c>
      <c r="G31" s="36">
        <f t="shared" si="4"/>
        <v>103</v>
      </c>
      <c r="H31" s="36">
        <f t="shared" si="4"/>
        <v>0</v>
      </c>
      <c r="I31" s="36">
        <f t="shared" si="4"/>
        <v>0</v>
      </c>
      <c r="J31" s="36">
        <f t="shared" si="4"/>
        <v>0</v>
      </c>
      <c r="K31" s="36">
        <f t="shared" si="4"/>
        <v>0</v>
      </c>
      <c r="L31" s="36">
        <f t="shared" si="3"/>
        <v>211</v>
      </c>
      <c r="M31" s="47">
        <v>1825</v>
      </c>
    </row>
    <row r="32" spans="1:13" x14ac:dyDescent="0.3">
      <c r="A32" s="31"/>
      <c r="B32" s="31"/>
      <c r="C32" s="31"/>
      <c r="D32" s="31"/>
      <c r="E32" s="31"/>
      <c r="F32" s="32"/>
      <c r="G32" s="31"/>
      <c r="H32" s="31"/>
      <c r="I32" s="31"/>
      <c r="J32" s="31"/>
      <c r="K32" s="31"/>
      <c r="L32" s="31"/>
      <c r="M32" s="31"/>
    </row>
  </sheetData>
  <mergeCells count="20">
    <mergeCell ref="A24:D24"/>
    <mergeCell ref="A1:M1"/>
    <mergeCell ref="B4:B6"/>
    <mergeCell ref="B7:B9"/>
    <mergeCell ref="A13:A15"/>
    <mergeCell ref="B13:B15"/>
    <mergeCell ref="A16:A18"/>
    <mergeCell ref="B16:B18"/>
    <mergeCell ref="A21:M21"/>
    <mergeCell ref="I22:M22"/>
    <mergeCell ref="A23:D23"/>
    <mergeCell ref="A4:A12"/>
    <mergeCell ref="B10:B12"/>
    <mergeCell ref="A31:D31"/>
    <mergeCell ref="A25:D25"/>
    <mergeCell ref="A26:D26"/>
    <mergeCell ref="A27:D27"/>
    <mergeCell ref="A28:D28"/>
    <mergeCell ref="A29:D29"/>
    <mergeCell ref="A30:D3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32"/>
  <sheetViews>
    <sheetView workbookViewId="0">
      <selection activeCell="O4" sqref="O4:O31"/>
    </sheetView>
  </sheetViews>
  <sheetFormatPr defaultRowHeight="16.5" x14ac:dyDescent="0.3"/>
  <cols>
    <col min="1" max="1" width="18.5" customWidth="1"/>
    <col min="2" max="3" width="13.875" customWidth="1"/>
    <col min="4" max="4" width="11.875" customWidth="1"/>
    <col min="5" max="5" width="15.5" customWidth="1"/>
    <col min="6" max="6" width="14.5" style="12" customWidth="1"/>
    <col min="7" max="11" width="14.5" customWidth="1"/>
    <col min="12" max="13" width="12.875" customWidth="1"/>
  </cols>
  <sheetData>
    <row r="1" spans="1:13" ht="46.5" customHeight="1" x14ac:dyDescent="0.3">
      <c r="A1" s="69" t="s">
        <v>25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ht="17.25" thickBot="1" x14ac:dyDescent="0.35">
      <c r="A2" s="37"/>
      <c r="B2" s="1"/>
      <c r="C2" s="1"/>
      <c r="D2" s="2"/>
      <c r="E2" s="2"/>
      <c r="F2" s="13"/>
      <c r="G2" s="1"/>
    </row>
    <row r="3" spans="1:13" ht="27.75" customHeight="1" thickBot="1" x14ac:dyDescent="0.35">
      <c r="A3" s="22" t="s">
        <v>0</v>
      </c>
      <c r="B3" s="23" t="s">
        <v>1</v>
      </c>
      <c r="C3" s="23"/>
      <c r="D3" s="24" t="s">
        <v>2</v>
      </c>
      <c r="E3" s="49">
        <v>46013</v>
      </c>
      <c r="F3" s="49">
        <v>46014</v>
      </c>
      <c r="G3" s="49">
        <v>46015</v>
      </c>
      <c r="H3" s="49">
        <v>46016</v>
      </c>
      <c r="I3" s="49">
        <v>46017</v>
      </c>
      <c r="J3" s="49">
        <v>46018</v>
      </c>
      <c r="K3" s="49">
        <v>46019</v>
      </c>
      <c r="L3" s="54" t="s">
        <v>18</v>
      </c>
      <c r="M3" s="56" t="s">
        <v>10</v>
      </c>
    </row>
    <row r="4" spans="1:13" ht="16.5" customHeight="1" x14ac:dyDescent="0.3">
      <c r="A4" s="70" t="s">
        <v>3</v>
      </c>
      <c r="B4" s="73" t="s">
        <v>22</v>
      </c>
      <c r="C4" s="3" t="s">
        <v>4</v>
      </c>
      <c r="D4" s="30">
        <v>13500</v>
      </c>
      <c r="E4" s="50">
        <v>15</v>
      </c>
      <c r="F4" s="38">
        <v>20</v>
      </c>
      <c r="G4" s="39">
        <v>24</v>
      </c>
      <c r="H4" s="43">
        <v>24</v>
      </c>
      <c r="I4" s="43">
        <v>14</v>
      </c>
      <c r="J4" s="43">
        <v>51</v>
      </c>
      <c r="K4" s="43">
        <v>40</v>
      </c>
      <c r="L4" s="44">
        <f t="shared" ref="L4:L18" si="0">SUM(E4:K4)</f>
        <v>188</v>
      </c>
      <c r="M4" s="48">
        <v>592</v>
      </c>
    </row>
    <row r="5" spans="1:13" x14ac:dyDescent="0.3">
      <c r="A5" s="71"/>
      <c r="B5" s="74"/>
      <c r="C5" s="4" t="s">
        <v>5</v>
      </c>
      <c r="D5" s="16">
        <v>11700</v>
      </c>
      <c r="E5" s="51">
        <v>3</v>
      </c>
      <c r="F5" s="40">
        <v>3</v>
      </c>
      <c r="G5" s="41">
        <v>1</v>
      </c>
      <c r="H5" s="45">
        <v>2</v>
      </c>
      <c r="I5" s="45">
        <v>3</v>
      </c>
      <c r="J5" s="45">
        <v>5</v>
      </c>
      <c r="K5" s="45"/>
      <c r="L5" s="45">
        <f t="shared" si="0"/>
        <v>17</v>
      </c>
      <c r="M5" s="48">
        <v>59</v>
      </c>
    </row>
    <row r="6" spans="1:13" x14ac:dyDescent="0.3">
      <c r="A6" s="71"/>
      <c r="B6" s="74"/>
      <c r="C6" s="4" t="s">
        <v>6</v>
      </c>
      <c r="D6" s="16">
        <v>10800</v>
      </c>
      <c r="E6" s="51">
        <v>4</v>
      </c>
      <c r="F6" s="40">
        <v>5</v>
      </c>
      <c r="G6" s="41">
        <v>4</v>
      </c>
      <c r="H6" s="45">
        <v>9</v>
      </c>
      <c r="I6" s="45">
        <v>3</v>
      </c>
      <c r="J6" s="45">
        <v>17</v>
      </c>
      <c r="K6" s="45">
        <v>20</v>
      </c>
      <c r="L6" s="45">
        <f t="shared" si="0"/>
        <v>62</v>
      </c>
      <c r="M6" s="48">
        <v>213</v>
      </c>
    </row>
    <row r="7" spans="1:13" x14ac:dyDescent="0.3">
      <c r="A7" s="71"/>
      <c r="B7" s="86" t="s">
        <v>23</v>
      </c>
      <c r="C7" s="4" t="s">
        <v>4</v>
      </c>
      <c r="D7" s="16">
        <v>12750</v>
      </c>
      <c r="E7" s="51"/>
      <c r="F7" s="40"/>
      <c r="G7" s="41"/>
      <c r="H7" s="45"/>
      <c r="I7" s="45"/>
      <c r="J7" s="45"/>
      <c r="K7" s="45"/>
      <c r="L7" s="45"/>
      <c r="M7" s="48">
        <v>26</v>
      </c>
    </row>
    <row r="8" spans="1:13" x14ac:dyDescent="0.3">
      <c r="A8" s="71"/>
      <c r="B8" s="74"/>
      <c r="C8" s="4" t="s">
        <v>5</v>
      </c>
      <c r="D8" s="16">
        <v>11050</v>
      </c>
      <c r="E8" s="51"/>
      <c r="F8" s="40"/>
      <c r="G8" s="41"/>
      <c r="H8" s="45"/>
      <c r="I8" s="45"/>
      <c r="J8" s="45"/>
      <c r="K8" s="45"/>
      <c r="L8" s="45"/>
      <c r="M8" s="48">
        <v>3</v>
      </c>
    </row>
    <row r="9" spans="1:13" x14ac:dyDescent="0.3">
      <c r="A9" s="71"/>
      <c r="B9" s="74"/>
      <c r="C9" s="4" t="s">
        <v>6</v>
      </c>
      <c r="D9" s="16">
        <v>10200</v>
      </c>
      <c r="E9" s="51"/>
      <c r="F9" s="40"/>
      <c r="G9" s="41"/>
      <c r="H9" s="45"/>
      <c r="I9" s="45"/>
      <c r="J9" s="45"/>
      <c r="K9" s="45"/>
      <c r="L9" s="45"/>
      <c r="M9" s="48">
        <v>11</v>
      </c>
    </row>
    <row r="10" spans="1:13" x14ac:dyDescent="0.3">
      <c r="A10" s="71"/>
      <c r="B10" s="77" t="s">
        <v>29</v>
      </c>
      <c r="C10" s="4" t="s">
        <v>4</v>
      </c>
      <c r="D10" s="16">
        <v>11000</v>
      </c>
      <c r="E10" s="51">
        <v>21</v>
      </c>
      <c r="F10" s="40">
        <v>10</v>
      </c>
      <c r="G10" s="41">
        <v>9</v>
      </c>
      <c r="H10" s="45"/>
      <c r="I10" s="45">
        <v>10</v>
      </c>
      <c r="J10" s="45">
        <v>11</v>
      </c>
      <c r="K10" s="45">
        <v>18</v>
      </c>
      <c r="L10" s="45"/>
      <c r="M10" s="48">
        <v>43</v>
      </c>
    </row>
    <row r="11" spans="1:13" x14ac:dyDescent="0.3">
      <c r="A11" s="71"/>
      <c r="B11" s="78"/>
      <c r="C11" s="4" t="s">
        <v>5</v>
      </c>
      <c r="D11" s="16">
        <v>9500</v>
      </c>
      <c r="E11" s="51"/>
      <c r="F11" s="40">
        <v>2</v>
      </c>
      <c r="G11" s="41">
        <v>3</v>
      </c>
      <c r="H11" s="45"/>
      <c r="I11" s="45"/>
      <c r="J11" s="45">
        <v>2</v>
      </c>
      <c r="K11" s="45">
        <v>1</v>
      </c>
      <c r="L11" s="45"/>
      <c r="M11" s="48">
        <v>8</v>
      </c>
    </row>
    <row r="12" spans="1:13" x14ac:dyDescent="0.3">
      <c r="A12" s="72"/>
      <c r="B12" s="79"/>
      <c r="C12" s="4" t="s">
        <v>6</v>
      </c>
      <c r="D12" s="16">
        <v>8700</v>
      </c>
      <c r="E12" s="51">
        <v>8</v>
      </c>
      <c r="F12" s="40">
        <v>6</v>
      </c>
      <c r="G12" s="41">
        <v>4</v>
      </c>
      <c r="H12" s="45"/>
      <c r="I12" s="45">
        <v>1</v>
      </c>
      <c r="J12" s="45">
        <v>6</v>
      </c>
      <c r="K12" s="45">
        <v>10</v>
      </c>
      <c r="L12" s="45"/>
      <c r="M12" s="48">
        <v>28</v>
      </c>
    </row>
    <row r="13" spans="1:13" x14ac:dyDescent="0.3">
      <c r="A13" s="80" t="s">
        <v>7</v>
      </c>
      <c r="B13" s="75" t="s">
        <v>21</v>
      </c>
      <c r="C13" s="15" t="s">
        <v>4</v>
      </c>
      <c r="D13" s="17">
        <v>13200</v>
      </c>
      <c r="E13" s="52">
        <v>2</v>
      </c>
      <c r="F13" s="40">
        <v>2</v>
      </c>
      <c r="G13" s="42"/>
      <c r="H13" s="46">
        <v>2</v>
      </c>
      <c r="I13" s="46">
        <v>2</v>
      </c>
      <c r="J13" s="46">
        <v>4</v>
      </c>
      <c r="K13" s="46">
        <v>6</v>
      </c>
      <c r="L13" s="45">
        <f t="shared" si="0"/>
        <v>18</v>
      </c>
      <c r="M13" s="48">
        <v>40</v>
      </c>
    </row>
    <row r="14" spans="1:13" x14ac:dyDescent="0.3">
      <c r="A14" s="81"/>
      <c r="B14" s="76"/>
      <c r="C14" s="15" t="s">
        <v>5</v>
      </c>
      <c r="D14" s="17">
        <v>11440</v>
      </c>
      <c r="E14" s="52"/>
      <c r="F14" s="40"/>
      <c r="G14" s="42"/>
      <c r="H14" s="46"/>
      <c r="I14" s="46"/>
      <c r="J14" s="46"/>
      <c r="K14" s="46"/>
      <c r="L14" s="45"/>
      <c r="M14" s="48">
        <v>0</v>
      </c>
    </row>
    <row r="15" spans="1:13" x14ac:dyDescent="0.3">
      <c r="A15" s="81"/>
      <c r="B15" s="76"/>
      <c r="C15" s="15" t="s">
        <v>6</v>
      </c>
      <c r="D15" s="17">
        <v>10560</v>
      </c>
      <c r="E15" s="52">
        <v>1</v>
      </c>
      <c r="F15" s="40"/>
      <c r="G15" s="42"/>
      <c r="H15" s="46"/>
      <c r="I15" s="46">
        <v>1</v>
      </c>
      <c r="J15" s="46">
        <v>1</v>
      </c>
      <c r="K15" s="46"/>
      <c r="L15" s="45">
        <f t="shared" si="0"/>
        <v>3</v>
      </c>
      <c r="M15" s="48">
        <v>10</v>
      </c>
    </row>
    <row r="16" spans="1:13" x14ac:dyDescent="0.3">
      <c r="A16" s="80" t="s">
        <v>8</v>
      </c>
      <c r="B16" s="75" t="s">
        <v>19</v>
      </c>
      <c r="C16" s="15" t="s">
        <v>4</v>
      </c>
      <c r="D16" s="17">
        <v>13200</v>
      </c>
      <c r="E16" s="52"/>
      <c r="F16" s="40">
        <v>2</v>
      </c>
      <c r="G16" s="42"/>
      <c r="H16" s="46">
        <v>2</v>
      </c>
      <c r="I16" s="46"/>
      <c r="J16" s="46">
        <v>3</v>
      </c>
      <c r="K16" s="46">
        <v>4</v>
      </c>
      <c r="L16" s="45">
        <f t="shared" si="0"/>
        <v>11</v>
      </c>
      <c r="M16" s="48">
        <v>30</v>
      </c>
    </row>
    <row r="17" spans="1:13" x14ac:dyDescent="0.3">
      <c r="A17" s="81"/>
      <c r="B17" s="76"/>
      <c r="C17" s="15" t="s">
        <v>5</v>
      </c>
      <c r="D17" s="17">
        <v>11440</v>
      </c>
      <c r="E17" s="52"/>
      <c r="F17" s="40">
        <v>3</v>
      </c>
      <c r="G17" s="42"/>
      <c r="H17" s="46"/>
      <c r="I17" s="46"/>
      <c r="J17" s="46"/>
      <c r="K17" s="46">
        <v>1</v>
      </c>
      <c r="L17" s="45">
        <f t="shared" si="0"/>
        <v>4</v>
      </c>
      <c r="M17" s="48">
        <v>8</v>
      </c>
    </row>
    <row r="18" spans="1:13" x14ac:dyDescent="0.3">
      <c r="A18" s="81"/>
      <c r="B18" s="76"/>
      <c r="C18" s="15" t="s">
        <v>6</v>
      </c>
      <c r="D18" s="17">
        <v>10560</v>
      </c>
      <c r="E18" s="52"/>
      <c r="F18" s="40"/>
      <c r="G18" s="42"/>
      <c r="H18" s="46">
        <v>1</v>
      </c>
      <c r="I18" s="46"/>
      <c r="J18" s="46">
        <v>2</v>
      </c>
      <c r="K18" s="46">
        <v>2</v>
      </c>
      <c r="L18" s="45">
        <f t="shared" si="0"/>
        <v>5</v>
      </c>
      <c r="M18" s="48">
        <v>13</v>
      </c>
    </row>
    <row r="19" spans="1:13" ht="23.25" customHeight="1" thickBot="1" x14ac:dyDescent="0.35">
      <c r="A19" s="18" t="s">
        <v>20</v>
      </c>
      <c r="B19" s="19"/>
      <c r="C19" s="20"/>
      <c r="D19" s="21"/>
      <c r="E19" s="53">
        <f>SUM(E4:E18)</f>
        <v>54</v>
      </c>
      <c r="F19" s="47">
        <f t="shared" ref="F19:L19" si="1">SUM(F4:F18)</f>
        <v>53</v>
      </c>
      <c r="G19" s="47">
        <f t="shared" si="1"/>
        <v>45</v>
      </c>
      <c r="H19" s="47">
        <f t="shared" si="1"/>
        <v>40</v>
      </c>
      <c r="I19" s="47">
        <f t="shared" si="1"/>
        <v>34</v>
      </c>
      <c r="J19" s="47">
        <f t="shared" si="1"/>
        <v>102</v>
      </c>
      <c r="K19" s="47">
        <f t="shared" si="1"/>
        <v>102</v>
      </c>
      <c r="L19" s="47">
        <f t="shared" si="1"/>
        <v>308</v>
      </c>
      <c r="M19" s="47">
        <v>1084</v>
      </c>
    </row>
    <row r="20" spans="1:13" ht="26.25" customHeight="1" x14ac:dyDescent="0.3">
      <c r="A20" s="5"/>
      <c r="B20" s="5"/>
      <c r="C20" s="5"/>
      <c r="D20" s="5"/>
      <c r="E20" s="5"/>
      <c r="F20" s="14"/>
      <c r="G20" s="5"/>
    </row>
    <row r="21" spans="1:13" ht="43.5" customHeight="1" x14ac:dyDescent="0.3">
      <c r="A21" s="69" t="s">
        <v>26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</row>
    <row r="22" spans="1:13" ht="18" thickBot="1" x14ac:dyDescent="0.35">
      <c r="A22" s="6"/>
      <c r="B22" s="6"/>
      <c r="C22" s="6"/>
      <c r="D22" s="6"/>
      <c r="E22" s="6"/>
      <c r="F22" s="11"/>
      <c r="G22" s="8"/>
      <c r="H22" s="7"/>
      <c r="I22" s="82"/>
      <c r="J22" s="82"/>
      <c r="K22" s="82"/>
      <c r="L22" s="82"/>
      <c r="M22" s="82"/>
    </row>
    <row r="23" spans="1:13" ht="28.5" customHeight="1" thickBot="1" x14ac:dyDescent="0.35">
      <c r="A23" s="83" t="s">
        <v>9</v>
      </c>
      <c r="B23" s="84"/>
      <c r="C23" s="84"/>
      <c r="D23" s="85"/>
      <c r="E23" s="25">
        <f>E3</f>
        <v>46013</v>
      </c>
      <c r="F23" s="25">
        <f>F3</f>
        <v>46014</v>
      </c>
      <c r="G23" s="25">
        <f t="shared" ref="G23:K23" si="2">G3</f>
        <v>46015</v>
      </c>
      <c r="H23" s="25">
        <f t="shared" si="2"/>
        <v>46016</v>
      </c>
      <c r="I23" s="25">
        <f t="shared" si="2"/>
        <v>46017</v>
      </c>
      <c r="J23" s="25">
        <f t="shared" si="2"/>
        <v>46018</v>
      </c>
      <c r="K23" s="25">
        <f t="shared" si="2"/>
        <v>46019</v>
      </c>
      <c r="L23" s="54" t="s">
        <v>18</v>
      </c>
      <c r="M23" s="55" t="s">
        <v>10</v>
      </c>
    </row>
    <row r="24" spans="1:13" ht="21.75" customHeight="1" x14ac:dyDescent="0.3">
      <c r="A24" s="66" t="s">
        <v>11</v>
      </c>
      <c r="B24" s="67"/>
      <c r="C24" s="67"/>
      <c r="D24" s="68"/>
      <c r="E24" s="33">
        <v>40</v>
      </c>
      <c r="F24" s="27">
        <v>33</v>
      </c>
      <c r="G24" s="28">
        <v>38</v>
      </c>
      <c r="H24" s="28">
        <v>52</v>
      </c>
      <c r="I24" s="33">
        <v>50</v>
      </c>
      <c r="J24" s="28">
        <v>51</v>
      </c>
      <c r="K24" s="28">
        <v>90</v>
      </c>
      <c r="L24" s="28">
        <f t="shared" ref="L24:L31" si="3">SUM(E24:K24)</f>
        <v>354</v>
      </c>
      <c r="M24" s="29">
        <v>1080</v>
      </c>
    </row>
    <row r="25" spans="1:13" ht="21.75" customHeight="1" x14ac:dyDescent="0.3">
      <c r="A25" s="60" t="s">
        <v>12</v>
      </c>
      <c r="B25" s="61"/>
      <c r="C25" s="61"/>
      <c r="D25" s="62"/>
      <c r="E25" s="34"/>
      <c r="F25" s="26">
        <v>0</v>
      </c>
      <c r="G25" s="9">
        <v>0</v>
      </c>
      <c r="H25" s="10">
        <v>5</v>
      </c>
      <c r="I25" s="34">
        <v>0</v>
      </c>
      <c r="J25" s="9">
        <v>0</v>
      </c>
      <c r="K25" s="9">
        <v>15</v>
      </c>
      <c r="L25" s="28">
        <f t="shared" si="3"/>
        <v>20</v>
      </c>
      <c r="M25" s="29">
        <v>185</v>
      </c>
    </row>
    <row r="26" spans="1:13" ht="21.75" customHeight="1" x14ac:dyDescent="0.3">
      <c r="A26" s="60" t="s">
        <v>13</v>
      </c>
      <c r="B26" s="61"/>
      <c r="C26" s="61"/>
      <c r="D26" s="62"/>
      <c r="E26" s="34"/>
      <c r="F26" s="26">
        <v>0</v>
      </c>
      <c r="G26" s="9">
        <v>0</v>
      </c>
      <c r="H26" s="9">
        <v>0</v>
      </c>
      <c r="I26" s="34"/>
      <c r="J26" s="9">
        <v>0</v>
      </c>
      <c r="K26" s="9">
        <v>0</v>
      </c>
      <c r="L26" s="28">
        <f t="shared" si="3"/>
        <v>0</v>
      </c>
      <c r="M26" s="29">
        <v>0</v>
      </c>
    </row>
    <row r="27" spans="1:13" ht="21.75" customHeight="1" x14ac:dyDescent="0.3">
      <c r="A27" s="60" t="s">
        <v>14</v>
      </c>
      <c r="B27" s="61"/>
      <c r="C27" s="61"/>
      <c r="D27" s="62"/>
      <c r="E27" s="34"/>
      <c r="F27" s="26">
        <v>1</v>
      </c>
      <c r="G27" s="9">
        <v>2</v>
      </c>
      <c r="H27" s="9">
        <v>12</v>
      </c>
      <c r="I27" s="34"/>
      <c r="J27" s="9">
        <v>25</v>
      </c>
      <c r="K27" s="9">
        <v>26</v>
      </c>
      <c r="L27" s="28">
        <f t="shared" si="3"/>
        <v>66</v>
      </c>
      <c r="M27" s="29">
        <v>204</v>
      </c>
    </row>
    <row r="28" spans="1:13" ht="21.75" customHeight="1" x14ac:dyDescent="0.3">
      <c r="A28" s="63" t="s">
        <v>24</v>
      </c>
      <c r="B28" s="64"/>
      <c r="C28" s="64"/>
      <c r="D28" s="65"/>
      <c r="E28" s="35"/>
      <c r="F28" s="26">
        <v>10</v>
      </c>
      <c r="G28" s="9"/>
      <c r="H28" s="9">
        <v>6</v>
      </c>
      <c r="I28" s="35">
        <v>6</v>
      </c>
      <c r="J28" s="9">
        <v>14</v>
      </c>
      <c r="K28" s="9"/>
      <c r="L28" s="28">
        <f t="shared" si="3"/>
        <v>36</v>
      </c>
      <c r="M28" s="29">
        <v>124</v>
      </c>
    </row>
    <row r="29" spans="1:13" ht="21.75" customHeight="1" x14ac:dyDescent="0.3">
      <c r="A29" s="60" t="s">
        <v>15</v>
      </c>
      <c r="B29" s="61"/>
      <c r="C29" s="61"/>
      <c r="D29" s="62"/>
      <c r="E29" s="34"/>
      <c r="F29" s="26"/>
      <c r="G29" s="10"/>
      <c r="H29" s="9"/>
      <c r="I29" s="9"/>
      <c r="J29" s="9"/>
      <c r="K29" s="9"/>
      <c r="L29" s="28">
        <f t="shared" si="3"/>
        <v>0</v>
      </c>
      <c r="M29" s="29">
        <v>0</v>
      </c>
    </row>
    <row r="30" spans="1:13" ht="21.75" customHeight="1" x14ac:dyDescent="0.3">
      <c r="A30" s="60" t="s">
        <v>16</v>
      </c>
      <c r="B30" s="61"/>
      <c r="C30" s="61"/>
      <c r="D30" s="62"/>
      <c r="E30" s="34"/>
      <c r="F30" s="26"/>
      <c r="G30" s="9"/>
      <c r="H30" s="9"/>
      <c r="I30" s="9"/>
      <c r="J30" s="9"/>
      <c r="K30" s="9"/>
      <c r="L30" s="28">
        <f t="shared" si="3"/>
        <v>0</v>
      </c>
      <c r="M30" s="29">
        <v>21</v>
      </c>
    </row>
    <row r="31" spans="1:13" ht="21.75" customHeight="1" thickBot="1" x14ac:dyDescent="0.35">
      <c r="A31" s="57" t="s">
        <v>17</v>
      </c>
      <c r="B31" s="58"/>
      <c r="C31" s="58"/>
      <c r="D31" s="59"/>
      <c r="E31" s="36">
        <f>SUM(E24:E30)</f>
        <v>40</v>
      </c>
      <c r="F31" s="36">
        <f t="shared" ref="F31:K31" si="4">SUM(F24:F30)</f>
        <v>44</v>
      </c>
      <c r="G31" s="36">
        <f t="shared" si="4"/>
        <v>40</v>
      </c>
      <c r="H31" s="36">
        <f t="shared" si="4"/>
        <v>75</v>
      </c>
      <c r="I31" s="36">
        <f t="shared" si="4"/>
        <v>56</v>
      </c>
      <c r="J31" s="36">
        <f t="shared" si="4"/>
        <v>90</v>
      </c>
      <c r="K31" s="36">
        <f t="shared" si="4"/>
        <v>131</v>
      </c>
      <c r="L31" s="36">
        <f t="shared" si="3"/>
        <v>476</v>
      </c>
      <c r="M31" s="47">
        <v>1614</v>
      </c>
    </row>
    <row r="32" spans="1:13" x14ac:dyDescent="0.3">
      <c r="A32" s="31"/>
      <c r="B32" s="31"/>
      <c r="C32" s="31"/>
      <c r="D32" s="31"/>
      <c r="E32" s="31"/>
      <c r="F32" s="32"/>
      <c r="G32" s="31"/>
      <c r="H32" s="31"/>
      <c r="I32" s="31"/>
      <c r="J32" s="31"/>
      <c r="K32" s="31"/>
      <c r="L32" s="31"/>
      <c r="M32" s="31"/>
    </row>
  </sheetData>
  <mergeCells count="20">
    <mergeCell ref="A24:D24"/>
    <mergeCell ref="A1:M1"/>
    <mergeCell ref="B4:B6"/>
    <mergeCell ref="B7:B9"/>
    <mergeCell ref="A13:A15"/>
    <mergeCell ref="B13:B15"/>
    <mergeCell ref="A4:A12"/>
    <mergeCell ref="B10:B12"/>
    <mergeCell ref="A16:A18"/>
    <mergeCell ref="B16:B18"/>
    <mergeCell ref="A21:M21"/>
    <mergeCell ref="I22:M22"/>
    <mergeCell ref="A23:D23"/>
    <mergeCell ref="A31:D31"/>
    <mergeCell ref="A25:D25"/>
    <mergeCell ref="A26:D26"/>
    <mergeCell ref="A27:D27"/>
    <mergeCell ref="A28:D28"/>
    <mergeCell ref="A29:D29"/>
    <mergeCell ref="A30:D3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M32"/>
  <sheetViews>
    <sheetView workbookViewId="0">
      <selection activeCell="P16" sqref="P16"/>
    </sheetView>
  </sheetViews>
  <sheetFormatPr defaultRowHeight="16.5" x14ac:dyDescent="0.3"/>
  <cols>
    <col min="1" max="1" width="18.5" customWidth="1"/>
    <col min="2" max="3" width="13.875" customWidth="1"/>
    <col min="4" max="4" width="11.875" customWidth="1"/>
    <col min="5" max="5" width="15.5" customWidth="1"/>
    <col min="6" max="6" width="14.5" style="12" customWidth="1"/>
    <col min="7" max="11" width="14.5" customWidth="1"/>
    <col min="12" max="13" width="12.875" customWidth="1"/>
  </cols>
  <sheetData>
    <row r="1" spans="1:13" ht="46.5" customHeight="1" x14ac:dyDescent="0.3">
      <c r="A1" s="69" t="s">
        <v>27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</row>
    <row r="2" spans="1:13" ht="17.25" thickBot="1" x14ac:dyDescent="0.35">
      <c r="A2" s="37"/>
      <c r="B2" s="1"/>
      <c r="C2" s="1"/>
      <c r="D2" s="2"/>
      <c r="E2" s="2"/>
      <c r="F2" s="13"/>
      <c r="G2" s="1"/>
    </row>
    <row r="3" spans="1:13" ht="27.75" customHeight="1" thickBot="1" x14ac:dyDescent="0.35">
      <c r="A3" s="22" t="s">
        <v>0</v>
      </c>
      <c r="B3" s="23" t="s">
        <v>1</v>
      </c>
      <c r="C3" s="23"/>
      <c r="D3" s="24" t="s">
        <v>2</v>
      </c>
      <c r="E3" s="49">
        <v>46006</v>
      </c>
      <c r="F3" s="49">
        <v>46007</v>
      </c>
      <c r="G3" s="49">
        <v>46008</v>
      </c>
      <c r="H3" s="49">
        <v>46009</v>
      </c>
      <c r="I3" s="49">
        <v>46010</v>
      </c>
      <c r="J3" s="49">
        <v>46011</v>
      </c>
      <c r="K3" s="49">
        <v>46012</v>
      </c>
      <c r="L3" s="54" t="s">
        <v>18</v>
      </c>
      <c r="M3" s="56" t="s">
        <v>10</v>
      </c>
    </row>
    <row r="4" spans="1:13" ht="16.5" customHeight="1" x14ac:dyDescent="0.3">
      <c r="A4" s="70" t="s">
        <v>3</v>
      </c>
      <c r="B4" s="73" t="s">
        <v>22</v>
      </c>
      <c r="C4" s="3" t="s">
        <v>4</v>
      </c>
      <c r="D4" s="30">
        <v>13500</v>
      </c>
      <c r="E4" s="50">
        <v>20</v>
      </c>
      <c r="F4" s="38">
        <v>17</v>
      </c>
      <c r="G4" s="39">
        <v>12</v>
      </c>
      <c r="H4" s="43">
        <v>15</v>
      </c>
      <c r="I4" s="43">
        <v>11</v>
      </c>
      <c r="J4" s="43">
        <v>33</v>
      </c>
      <c r="K4" s="43">
        <v>25</v>
      </c>
      <c r="L4" s="44">
        <f t="shared" ref="L4:L18" si="0">SUM(E4:K4)</f>
        <v>133</v>
      </c>
      <c r="M4" s="48">
        <v>404</v>
      </c>
    </row>
    <row r="5" spans="1:13" x14ac:dyDescent="0.3">
      <c r="A5" s="71"/>
      <c r="B5" s="74"/>
      <c r="C5" s="4" t="s">
        <v>5</v>
      </c>
      <c r="D5" s="16">
        <v>11700</v>
      </c>
      <c r="E5" s="51">
        <v>5</v>
      </c>
      <c r="F5" s="40">
        <v>6</v>
      </c>
      <c r="G5" s="41">
        <v>1</v>
      </c>
      <c r="H5" s="45">
        <v>2</v>
      </c>
      <c r="I5" s="45">
        <v>1</v>
      </c>
      <c r="J5" s="45">
        <v>4</v>
      </c>
      <c r="K5" s="45">
        <v>4</v>
      </c>
      <c r="L5" s="45">
        <f t="shared" si="0"/>
        <v>23</v>
      </c>
      <c r="M5" s="48">
        <v>42</v>
      </c>
    </row>
    <row r="6" spans="1:13" x14ac:dyDescent="0.3">
      <c r="A6" s="71"/>
      <c r="B6" s="74"/>
      <c r="C6" s="4" t="s">
        <v>6</v>
      </c>
      <c r="D6" s="16">
        <v>10800</v>
      </c>
      <c r="E6" s="51">
        <v>4</v>
      </c>
      <c r="F6" s="40">
        <v>5</v>
      </c>
      <c r="G6" s="41">
        <v>5</v>
      </c>
      <c r="H6" s="45">
        <v>6</v>
      </c>
      <c r="I6" s="45">
        <v>4</v>
      </c>
      <c r="J6" s="45">
        <v>10</v>
      </c>
      <c r="K6" s="45">
        <v>11</v>
      </c>
      <c r="L6" s="45">
        <f t="shared" si="0"/>
        <v>45</v>
      </c>
      <c r="M6" s="48">
        <v>151</v>
      </c>
    </row>
    <row r="7" spans="1:13" x14ac:dyDescent="0.3">
      <c r="A7" s="71"/>
      <c r="B7" s="86" t="s">
        <v>23</v>
      </c>
      <c r="C7" s="4" t="s">
        <v>4</v>
      </c>
      <c r="D7" s="16">
        <v>12750</v>
      </c>
      <c r="E7" s="51"/>
      <c r="F7" s="40"/>
      <c r="G7" s="41"/>
      <c r="H7" s="45"/>
      <c r="I7" s="45"/>
      <c r="J7" s="45"/>
      <c r="K7" s="45"/>
      <c r="L7" s="45">
        <f t="shared" si="0"/>
        <v>0</v>
      </c>
      <c r="M7" s="48">
        <v>26</v>
      </c>
    </row>
    <row r="8" spans="1:13" x14ac:dyDescent="0.3">
      <c r="A8" s="71"/>
      <c r="B8" s="74"/>
      <c r="C8" s="4" t="s">
        <v>5</v>
      </c>
      <c r="D8" s="16">
        <v>11050</v>
      </c>
      <c r="E8" s="51"/>
      <c r="F8" s="40"/>
      <c r="G8" s="41"/>
      <c r="H8" s="45"/>
      <c r="I8" s="45"/>
      <c r="J8" s="45"/>
      <c r="K8" s="45"/>
      <c r="L8" s="45">
        <f t="shared" si="0"/>
        <v>0</v>
      </c>
      <c r="M8" s="48">
        <v>3</v>
      </c>
    </row>
    <row r="9" spans="1:13" x14ac:dyDescent="0.3">
      <c r="A9" s="71"/>
      <c r="B9" s="74"/>
      <c r="C9" s="4" t="s">
        <v>6</v>
      </c>
      <c r="D9" s="16">
        <v>10200</v>
      </c>
      <c r="E9" s="51"/>
      <c r="F9" s="40"/>
      <c r="G9" s="41"/>
      <c r="H9" s="45"/>
      <c r="I9" s="45"/>
      <c r="J9" s="45"/>
      <c r="K9" s="45"/>
      <c r="L9" s="45">
        <f t="shared" si="0"/>
        <v>0</v>
      </c>
      <c r="M9" s="48">
        <v>11</v>
      </c>
    </row>
    <row r="10" spans="1:13" x14ac:dyDescent="0.3">
      <c r="A10" s="71"/>
      <c r="B10" s="77" t="s">
        <v>29</v>
      </c>
      <c r="C10" s="4" t="s">
        <v>4</v>
      </c>
      <c r="D10" s="16">
        <v>11000</v>
      </c>
      <c r="E10" s="51"/>
      <c r="F10" s="40"/>
      <c r="G10" s="41">
        <v>4</v>
      </c>
      <c r="H10" s="45">
        <v>9</v>
      </c>
      <c r="I10" s="45">
        <v>14</v>
      </c>
      <c r="J10" s="45">
        <v>10</v>
      </c>
      <c r="K10" s="45">
        <v>6</v>
      </c>
      <c r="L10" s="45">
        <f t="shared" si="0"/>
        <v>43</v>
      </c>
      <c r="M10" s="48">
        <v>43</v>
      </c>
    </row>
    <row r="11" spans="1:13" x14ac:dyDescent="0.3">
      <c r="A11" s="71"/>
      <c r="B11" s="78"/>
      <c r="C11" s="4" t="s">
        <v>5</v>
      </c>
      <c r="D11" s="16">
        <v>9500</v>
      </c>
      <c r="E11" s="51"/>
      <c r="F11" s="40"/>
      <c r="G11" s="41">
        <v>0</v>
      </c>
      <c r="H11" s="45">
        <v>1</v>
      </c>
      <c r="I11" s="45">
        <v>5</v>
      </c>
      <c r="J11" s="45">
        <v>1</v>
      </c>
      <c r="K11" s="45">
        <v>1</v>
      </c>
      <c r="L11" s="45">
        <f t="shared" si="0"/>
        <v>8</v>
      </c>
      <c r="M11" s="48">
        <v>8</v>
      </c>
    </row>
    <row r="12" spans="1:13" x14ac:dyDescent="0.3">
      <c r="A12" s="72"/>
      <c r="B12" s="79"/>
      <c r="C12" s="4" t="s">
        <v>6</v>
      </c>
      <c r="D12" s="16">
        <v>8700</v>
      </c>
      <c r="E12" s="51"/>
      <c r="F12" s="40"/>
      <c r="G12" s="41">
        <v>3</v>
      </c>
      <c r="H12" s="45">
        <v>6</v>
      </c>
      <c r="I12" s="45">
        <v>7</v>
      </c>
      <c r="J12" s="45">
        <v>8</v>
      </c>
      <c r="K12" s="45">
        <v>4</v>
      </c>
      <c r="L12" s="45">
        <f t="shared" si="0"/>
        <v>28</v>
      </c>
      <c r="M12" s="48">
        <v>28</v>
      </c>
    </row>
    <row r="13" spans="1:13" x14ac:dyDescent="0.3">
      <c r="A13" s="80" t="s">
        <v>7</v>
      </c>
      <c r="B13" s="75" t="s">
        <v>21</v>
      </c>
      <c r="C13" s="15" t="s">
        <v>4</v>
      </c>
      <c r="D13" s="17">
        <v>13200</v>
      </c>
      <c r="E13" s="52">
        <v>1</v>
      </c>
      <c r="F13" s="40">
        <v>2</v>
      </c>
      <c r="G13" s="42"/>
      <c r="H13" s="46">
        <v>2</v>
      </c>
      <c r="I13" s="46"/>
      <c r="J13" s="46"/>
      <c r="K13" s="46"/>
      <c r="L13" s="45">
        <f t="shared" si="0"/>
        <v>5</v>
      </c>
      <c r="M13" s="48">
        <v>22</v>
      </c>
    </row>
    <row r="14" spans="1:13" x14ac:dyDescent="0.3">
      <c r="A14" s="81"/>
      <c r="B14" s="76"/>
      <c r="C14" s="15" t="s">
        <v>5</v>
      </c>
      <c r="D14" s="17">
        <v>11440</v>
      </c>
      <c r="E14" s="52">
        <v>0</v>
      </c>
      <c r="F14" s="40">
        <v>0</v>
      </c>
      <c r="G14" s="42"/>
      <c r="H14" s="46"/>
      <c r="I14" s="46"/>
      <c r="J14" s="46"/>
      <c r="K14" s="46"/>
      <c r="L14" s="45">
        <f t="shared" si="0"/>
        <v>0</v>
      </c>
      <c r="M14" s="48">
        <v>0</v>
      </c>
    </row>
    <row r="15" spans="1:13" x14ac:dyDescent="0.3">
      <c r="A15" s="81"/>
      <c r="B15" s="76"/>
      <c r="C15" s="15" t="s">
        <v>6</v>
      </c>
      <c r="D15" s="17">
        <v>10560</v>
      </c>
      <c r="E15" s="52">
        <v>2</v>
      </c>
      <c r="F15" s="40">
        <v>0</v>
      </c>
      <c r="G15" s="42"/>
      <c r="H15" s="46">
        <v>2</v>
      </c>
      <c r="I15" s="46"/>
      <c r="J15" s="46"/>
      <c r="K15" s="46"/>
      <c r="L15" s="45">
        <f t="shared" si="0"/>
        <v>4</v>
      </c>
      <c r="M15" s="48">
        <v>7</v>
      </c>
    </row>
    <row r="16" spans="1:13" x14ac:dyDescent="0.3">
      <c r="A16" s="80" t="s">
        <v>8</v>
      </c>
      <c r="B16" s="75" t="s">
        <v>19</v>
      </c>
      <c r="C16" s="15" t="s">
        <v>4</v>
      </c>
      <c r="D16" s="17">
        <v>13200</v>
      </c>
      <c r="E16" s="52">
        <v>4</v>
      </c>
      <c r="F16" s="40"/>
      <c r="G16" s="42"/>
      <c r="H16" s="46">
        <v>2</v>
      </c>
      <c r="I16" s="46">
        <v>2</v>
      </c>
      <c r="J16" s="46"/>
      <c r="K16" s="46"/>
      <c r="L16" s="45">
        <f t="shared" si="0"/>
        <v>8</v>
      </c>
      <c r="M16" s="48">
        <v>19</v>
      </c>
    </row>
    <row r="17" spans="1:13" x14ac:dyDescent="0.3">
      <c r="A17" s="81"/>
      <c r="B17" s="76"/>
      <c r="C17" s="15" t="s">
        <v>5</v>
      </c>
      <c r="D17" s="17">
        <v>11440</v>
      </c>
      <c r="E17" s="52">
        <v>2</v>
      </c>
      <c r="F17" s="40"/>
      <c r="G17" s="42"/>
      <c r="H17" s="46"/>
      <c r="I17" s="46"/>
      <c r="J17" s="46"/>
      <c r="K17" s="46"/>
      <c r="L17" s="45">
        <f t="shared" si="0"/>
        <v>2</v>
      </c>
      <c r="M17" s="48">
        <v>4</v>
      </c>
    </row>
    <row r="18" spans="1:13" x14ac:dyDescent="0.3">
      <c r="A18" s="81"/>
      <c r="B18" s="76"/>
      <c r="C18" s="15" t="s">
        <v>6</v>
      </c>
      <c r="D18" s="17">
        <v>10560</v>
      </c>
      <c r="E18" s="52">
        <v>2</v>
      </c>
      <c r="F18" s="40"/>
      <c r="G18" s="42"/>
      <c r="H18" s="46">
        <v>2</v>
      </c>
      <c r="I18" s="46"/>
      <c r="J18" s="46"/>
      <c r="K18" s="46"/>
      <c r="L18" s="45">
        <f t="shared" si="0"/>
        <v>4</v>
      </c>
      <c r="M18" s="48">
        <v>8</v>
      </c>
    </row>
    <row r="19" spans="1:13" ht="23.25" customHeight="1" thickBot="1" x14ac:dyDescent="0.35">
      <c r="A19" s="18" t="s">
        <v>20</v>
      </c>
      <c r="B19" s="19"/>
      <c r="C19" s="20"/>
      <c r="D19" s="21"/>
      <c r="E19" s="53">
        <f>SUM(E4:E18)</f>
        <v>40</v>
      </c>
      <c r="F19" s="47">
        <f t="shared" ref="F19:L19" si="1">SUM(F4:F18)</f>
        <v>30</v>
      </c>
      <c r="G19" s="47">
        <f t="shared" si="1"/>
        <v>25</v>
      </c>
      <c r="H19" s="47">
        <f t="shared" si="1"/>
        <v>47</v>
      </c>
      <c r="I19" s="47">
        <f t="shared" si="1"/>
        <v>44</v>
      </c>
      <c r="J19" s="47">
        <f t="shared" si="1"/>
        <v>66</v>
      </c>
      <c r="K19" s="47">
        <f t="shared" si="1"/>
        <v>51</v>
      </c>
      <c r="L19" s="47">
        <f t="shared" si="1"/>
        <v>303</v>
      </c>
      <c r="M19" s="47">
        <v>776</v>
      </c>
    </row>
    <row r="20" spans="1:13" ht="26.25" customHeight="1" x14ac:dyDescent="0.3">
      <c r="A20" s="5"/>
      <c r="B20" s="5"/>
      <c r="C20" s="5"/>
      <c r="D20" s="5"/>
      <c r="E20" s="5"/>
      <c r="F20" s="14"/>
      <c r="G20" s="5"/>
    </row>
    <row r="21" spans="1:13" ht="43.5" customHeight="1" x14ac:dyDescent="0.3">
      <c r="A21" s="69" t="s">
        <v>28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</row>
    <row r="22" spans="1:13" ht="18" thickBot="1" x14ac:dyDescent="0.35">
      <c r="A22" s="6"/>
      <c r="B22" s="6"/>
      <c r="C22" s="6"/>
      <c r="D22" s="6"/>
      <c r="E22" s="6"/>
      <c r="F22" s="11"/>
      <c r="G22" s="8"/>
      <c r="H22" s="7"/>
      <c r="I22" s="82"/>
      <c r="J22" s="82"/>
      <c r="K22" s="82"/>
      <c r="L22" s="82"/>
      <c r="M22" s="82"/>
    </row>
    <row r="23" spans="1:13" ht="28.5" customHeight="1" thickBot="1" x14ac:dyDescent="0.35">
      <c r="A23" s="83" t="s">
        <v>9</v>
      </c>
      <c r="B23" s="84"/>
      <c r="C23" s="84"/>
      <c r="D23" s="85"/>
      <c r="E23" s="25">
        <f>E3</f>
        <v>46006</v>
      </c>
      <c r="F23" s="25">
        <f>F3</f>
        <v>46007</v>
      </c>
      <c r="G23" s="25">
        <f t="shared" ref="G23:K23" si="2">G3</f>
        <v>46008</v>
      </c>
      <c r="H23" s="25">
        <f t="shared" si="2"/>
        <v>46009</v>
      </c>
      <c r="I23" s="25">
        <f t="shared" si="2"/>
        <v>46010</v>
      </c>
      <c r="J23" s="25">
        <f t="shared" si="2"/>
        <v>46011</v>
      </c>
      <c r="K23" s="25">
        <f t="shared" si="2"/>
        <v>46012</v>
      </c>
      <c r="L23" s="54" t="s">
        <v>18</v>
      </c>
      <c r="M23" s="55" t="s">
        <v>10</v>
      </c>
    </row>
    <row r="24" spans="1:13" ht="21.75" customHeight="1" x14ac:dyDescent="0.3">
      <c r="A24" s="66" t="s">
        <v>11</v>
      </c>
      <c r="B24" s="67"/>
      <c r="C24" s="67"/>
      <c r="D24" s="68"/>
      <c r="E24" s="33">
        <v>29</v>
      </c>
      <c r="F24" s="27">
        <v>18</v>
      </c>
      <c r="G24" s="28">
        <v>26</v>
      </c>
      <c r="H24" s="28">
        <v>49</v>
      </c>
      <c r="I24" s="33">
        <v>30</v>
      </c>
      <c r="J24" s="28">
        <v>28</v>
      </c>
      <c r="K24" s="28">
        <v>25</v>
      </c>
      <c r="L24" s="28">
        <f t="shared" ref="L24:L31" si="3">SUM(E24:K24)</f>
        <v>205</v>
      </c>
      <c r="M24" s="29">
        <v>726</v>
      </c>
    </row>
    <row r="25" spans="1:13" ht="21.75" customHeight="1" x14ac:dyDescent="0.3">
      <c r="A25" s="60" t="s">
        <v>12</v>
      </c>
      <c r="B25" s="61"/>
      <c r="C25" s="61"/>
      <c r="D25" s="62"/>
      <c r="E25" s="34">
        <v>2</v>
      </c>
      <c r="F25" s="26">
        <v>0</v>
      </c>
      <c r="G25" s="9">
        <v>0</v>
      </c>
      <c r="H25" s="10">
        <v>0</v>
      </c>
      <c r="I25" s="34"/>
      <c r="J25" s="9">
        <v>0</v>
      </c>
      <c r="K25" s="9">
        <v>0</v>
      </c>
      <c r="L25" s="28">
        <f t="shared" si="3"/>
        <v>2</v>
      </c>
      <c r="M25" s="29">
        <v>165</v>
      </c>
    </row>
    <row r="26" spans="1:13" ht="21.75" customHeight="1" x14ac:dyDescent="0.3">
      <c r="A26" s="60" t="s">
        <v>13</v>
      </c>
      <c r="B26" s="61"/>
      <c r="C26" s="61"/>
      <c r="D26" s="62"/>
      <c r="E26" s="34"/>
      <c r="F26" s="26">
        <v>0</v>
      </c>
      <c r="G26" s="9">
        <v>0</v>
      </c>
      <c r="H26" s="9">
        <v>0</v>
      </c>
      <c r="I26" s="34"/>
      <c r="J26" s="9">
        <v>0</v>
      </c>
      <c r="K26" s="9">
        <v>0</v>
      </c>
      <c r="L26" s="28">
        <f t="shared" si="3"/>
        <v>0</v>
      </c>
      <c r="M26" s="29">
        <v>0</v>
      </c>
    </row>
    <row r="27" spans="1:13" ht="21.75" customHeight="1" x14ac:dyDescent="0.3">
      <c r="A27" s="60" t="s">
        <v>14</v>
      </c>
      <c r="B27" s="61"/>
      <c r="C27" s="61"/>
      <c r="D27" s="62"/>
      <c r="E27" s="34">
        <v>2</v>
      </c>
      <c r="F27" s="26">
        <v>0</v>
      </c>
      <c r="G27" s="9">
        <v>0</v>
      </c>
      <c r="H27" s="9">
        <v>0</v>
      </c>
      <c r="I27" s="34"/>
      <c r="J27" s="9">
        <v>11</v>
      </c>
      <c r="K27" s="9">
        <v>20</v>
      </c>
      <c r="L27" s="28">
        <f t="shared" si="3"/>
        <v>33</v>
      </c>
      <c r="M27" s="29">
        <v>138</v>
      </c>
    </row>
    <row r="28" spans="1:13" ht="21.75" customHeight="1" x14ac:dyDescent="0.3">
      <c r="A28" s="63" t="s">
        <v>24</v>
      </c>
      <c r="B28" s="64"/>
      <c r="C28" s="64"/>
      <c r="D28" s="65"/>
      <c r="E28" s="35">
        <v>8</v>
      </c>
      <c r="F28" s="26">
        <v>7</v>
      </c>
      <c r="G28" s="9">
        <v>8</v>
      </c>
      <c r="H28" s="9">
        <v>7</v>
      </c>
      <c r="I28" s="35">
        <v>7</v>
      </c>
      <c r="J28" s="9">
        <v>2</v>
      </c>
      <c r="K28" s="9"/>
      <c r="L28" s="28">
        <f t="shared" si="3"/>
        <v>39</v>
      </c>
      <c r="M28" s="29">
        <v>88</v>
      </c>
    </row>
    <row r="29" spans="1:13" ht="21.75" customHeight="1" x14ac:dyDescent="0.3">
      <c r="A29" s="60" t="s">
        <v>15</v>
      </c>
      <c r="B29" s="61"/>
      <c r="C29" s="61"/>
      <c r="D29" s="62"/>
      <c r="E29" s="34"/>
      <c r="F29" s="26"/>
      <c r="G29" s="10"/>
      <c r="H29" s="9"/>
      <c r="I29" s="9"/>
      <c r="J29" s="9"/>
      <c r="K29" s="9"/>
      <c r="L29" s="28">
        <f t="shared" si="3"/>
        <v>0</v>
      </c>
      <c r="M29" s="29">
        <v>0</v>
      </c>
    </row>
    <row r="30" spans="1:13" ht="21.75" customHeight="1" x14ac:dyDescent="0.3">
      <c r="A30" s="60" t="s">
        <v>16</v>
      </c>
      <c r="B30" s="61"/>
      <c r="C30" s="61"/>
      <c r="D30" s="62"/>
      <c r="E30" s="34"/>
      <c r="F30" s="26"/>
      <c r="G30" s="9"/>
      <c r="H30" s="9"/>
      <c r="I30" s="9"/>
      <c r="J30" s="9"/>
      <c r="K30" s="9"/>
      <c r="L30" s="28">
        <f t="shared" si="3"/>
        <v>0</v>
      </c>
      <c r="M30" s="29">
        <v>21</v>
      </c>
    </row>
    <row r="31" spans="1:13" ht="21.75" customHeight="1" thickBot="1" x14ac:dyDescent="0.35">
      <c r="A31" s="57" t="s">
        <v>17</v>
      </c>
      <c r="B31" s="58"/>
      <c r="C31" s="58"/>
      <c r="D31" s="59"/>
      <c r="E31" s="36">
        <f>SUM(E24:E30)</f>
        <v>41</v>
      </c>
      <c r="F31" s="36">
        <f t="shared" ref="F31:K31" si="4">SUM(F24:F30)</f>
        <v>25</v>
      </c>
      <c r="G31" s="36">
        <f t="shared" si="4"/>
        <v>34</v>
      </c>
      <c r="H31" s="36">
        <f t="shared" si="4"/>
        <v>56</v>
      </c>
      <c r="I31" s="36">
        <f t="shared" si="4"/>
        <v>37</v>
      </c>
      <c r="J31" s="36">
        <f t="shared" si="4"/>
        <v>41</v>
      </c>
      <c r="K31" s="36">
        <f t="shared" si="4"/>
        <v>45</v>
      </c>
      <c r="L31" s="36">
        <f t="shared" si="3"/>
        <v>279</v>
      </c>
      <c r="M31" s="47">
        <v>1138</v>
      </c>
    </row>
    <row r="32" spans="1:13" x14ac:dyDescent="0.3">
      <c r="A32" s="31"/>
      <c r="B32" s="31"/>
      <c r="C32" s="31"/>
      <c r="D32" s="31"/>
      <c r="E32" s="31"/>
      <c r="F32" s="32"/>
      <c r="G32" s="31"/>
      <c r="H32" s="31"/>
      <c r="I32" s="31"/>
      <c r="J32" s="31"/>
      <c r="K32" s="31"/>
      <c r="L32" s="31"/>
      <c r="M32" s="31"/>
    </row>
  </sheetData>
  <mergeCells count="20">
    <mergeCell ref="A24:D24"/>
    <mergeCell ref="A1:M1"/>
    <mergeCell ref="B4:B6"/>
    <mergeCell ref="B7:B9"/>
    <mergeCell ref="A13:A15"/>
    <mergeCell ref="B13:B15"/>
    <mergeCell ref="A4:A12"/>
    <mergeCell ref="B10:B12"/>
    <mergeCell ref="A16:A18"/>
    <mergeCell ref="B16:B18"/>
    <mergeCell ref="A21:M21"/>
    <mergeCell ref="I22:M22"/>
    <mergeCell ref="A23:D23"/>
    <mergeCell ref="A31:D31"/>
    <mergeCell ref="A25:D25"/>
    <mergeCell ref="A26:D26"/>
    <mergeCell ref="A27:D27"/>
    <mergeCell ref="A28:D28"/>
    <mergeCell ref="A29:D29"/>
    <mergeCell ref="A30:D30"/>
  </mergeCells>
  <phoneticPr fontId="3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12.31</vt:lpstr>
      <vt:lpstr>12.28</vt:lpstr>
      <vt:lpstr>12.21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sun young</dc:creator>
  <cp:lastModifiedBy>김민지(Minji Kim)/채널제휴팀/SKP/1004851</cp:lastModifiedBy>
  <cp:lastPrinted>2025-12-29T07:24:33Z</cp:lastPrinted>
  <dcterms:created xsi:type="dcterms:W3CDTF">2025-11-18T03:35:29Z</dcterms:created>
  <dcterms:modified xsi:type="dcterms:W3CDTF">2026-01-05T05:46:19Z</dcterms:modified>
</cp:coreProperties>
</file>